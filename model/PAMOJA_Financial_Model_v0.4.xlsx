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nputs" sheetId="2" state="visible" r:id="rId2"/>
    <sheet name="Districts" sheetId="3" state="visible" r:id="rId3"/>
    <sheet name="Fund flow" sheetId="4" state="visible" r:id="rId4"/>
    <sheet name="Monthly cycle" sheetId="5" state="visible" r:id="rId5"/>
    <sheet name="Open questions" sheetId="6" state="visible" r:id="rId6"/>
    <sheet name="Glossary" sheetId="7" state="visible" r:id="rId7"/>
  </sheets>
  <definedNames/>
  <calcPr calcId="124519" fullCalcOnLoad="1"/>
</workbook>
</file>

<file path=xl/styles.xml><?xml version="1.0" encoding="utf-8"?>
<styleSheet xmlns="http://schemas.openxmlformats.org/spreadsheetml/2006/main">
  <numFmts count="2">
    <numFmt numFmtId="164" formatCode="&quot;$&quot;#,##0;[Red]-&quot;$&quot;#,##0"/>
    <numFmt numFmtId="165" formatCode="0.0%"/>
  </numFmts>
  <fonts count="7">
    <font>
      <name val="Calibri"/>
      <family val="2"/>
      <color theme="1"/>
      <sz val="11"/>
      <scheme val="minor"/>
    </font>
    <font>
      <b val="1"/>
      <color rgb="001C5A3F"/>
      <sz val="14"/>
    </font>
    <font>
      <i val="1"/>
      <color rgb="005B6B60"/>
    </font>
    <font>
      <b val="1"/>
    </font>
    <font>
      <b val="1"/>
      <color rgb="00FFFFFF"/>
    </font>
    <font>
      <color rgb="000000FF"/>
    </font>
    <font>
      <i val="1"/>
      <color rgb="008A978C"/>
    </font>
  </fonts>
  <fills count="6">
    <fill>
      <patternFill/>
    </fill>
    <fill>
      <patternFill patternType="gray125"/>
    </fill>
    <fill>
      <patternFill patternType="solid">
        <fgColor rgb="001C5A3F"/>
      </patternFill>
    </fill>
    <fill>
      <patternFill patternType="solid">
        <fgColor rgb="00DCEBE1"/>
      </patternFill>
    </fill>
    <fill>
      <patternFill patternType="solid">
        <fgColor rgb="00FFF2CC"/>
      </patternFill>
    </fill>
    <fill>
      <patternFill patternType="solid">
        <fgColor rgb="00EEEEEE"/>
      </patternFill>
    </fill>
  </fills>
  <borders count="3">
    <border>
      <left/>
      <right/>
      <top/>
      <bottom/>
      <diagonal/>
    </border>
    <border>
      <left style="thin">
        <color rgb="00C6CDBE"/>
      </left>
      <right style="thin">
        <color rgb="00C6CDBE"/>
      </right>
      <top style="thin">
        <color rgb="00C6CDBE"/>
      </top>
      <bottom style="thin">
        <color rgb="00C6CDBE"/>
      </bottom>
    </border>
    <border>
      <right style="thick">
        <color rgb="001C5A3F"/>
      </right>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3" fillId="3" borderId="0" pivotButton="0" quotePrefix="0" xfId="0"/>
    <xf numFmtId="0" fontId="0" fillId="3" borderId="0" pivotButton="0" quotePrefix="0" xfId="0"/>
    <xf numFmtId="164" fontId="5" fillId="4" borderId="1" pivotButton="0" quotePrefix="0" xfId="0"/>
    <xf numFmtId="164" fontId="3" fillId="0" borderId="1" pivotButton="0" quotePrefix="0" xfId="0"/>
    <xf numFmtId="2" fontId="5" fillId="4" borderId="1" pivotButton="0" quotePrefix="0" xfId="0"/>
    <xf numFmtId="165" fontId="5" fillId="4" borderId="1" pivotButton="0" quotePrefix="0" xfId="0"/>
    <xf numFmtId="1" fontId="5" fillId="4" borderId="1" pivotButton="0" quotePrefix="0" xfId="0"/>
    <xf numFmtId="49" fontId="3" fillId="0" borderId="1" pivotButton="0" quotePrefix="0" xfId="0"/>
    <xf numFmtId="1" fontId="3" fillId="0" borderId="1" pivotButton="0" quotePrefix="0" xfId="0"/>
    <xf numFmtId="165" fontId="3" fillId="0" borderId="1" pivotButton="0" quotePrefix="0" xfId="0"/>
    <xf numFmtId="0" fontId="0" fillId="4" borderId="0" pivotButton="0" quotePrefix="0" xfId="0"/>
    <xf numFmtId="3" fontId="5" fillId="4" borderId="1" pivotButton="0" quotePrefix="0" xfId="0"/>
    <xf numFmtId="164" fontId="0" fillId="0" borderId="0" pivotButton="0" quotePrefix="0" xfId="0"/>
    <xf numFmtId="2" fontId="0" fillId="0" borderId="0" pivotButton="0" quotePrefix="0" xfId="0"/>
    <xf numFmtId="165" fontId="0" fillId="0" borderId="0" pivotButton="0" quotePrefix="0" xfId="0"/>
    <xf numFmtId="3" fontId="3" fillId="0" borderId="0" pivotButton="0" quotePrefix="0" xfId="0"/>
    <xf numFmtId="164" fontId="3" fillId="0" borderId="0" pivotButton="0" quotePrefix="0" xfId="0"/>
    <xf numFmtId="165" fontId="3" fillId="0" borderId="0" pivotButton="0" quotePrefix="0" xfId="0"/>
    <xf numFmtId="2" fontId="3" fillId="0" borderId="0" pivotButton="0" quotePrefix="0" xfId="0"/>
    <xf numFmtId="164" fontId="0" fillId="0" borderId="1" pivotButton="0" quotePrefix="0" xfId="0"/>
    <xf numFmtId="165" fontId="0" fillId="0" borderId="1" pivotButton="0" quotePrefix="0" xfId="0"/>
    <xf numFmtId="0" fontId="6" fillId="0" borderId="0" pivotButton="0" quotePrefix="0" xfId="0"/>
    <xf numFmtId="49" fontId="0" fillId="0" borderId="1" pivotButton="0" quotePrefix="0" xfId="0"/>
    <xf numFmtId="1" fontId="0" fillId="0" borderId="1" pivotButton="0" quotePrefix="0" xfId="0"/>
    <xf numFmtId="0" fontId="3" fillId="0" borderId="2" pivotButton="0" quotePrefix="0" xfId="0"/>
    <xf numFmtId="0" fontId="0" fillId="0" borderId="2" pivotButton="0" quotePrefix="0" xfId="0"/>
    <xf numFmtId="165" fontId="5" fillId="4" borderId="2" pivotButton="0" quotePrefix="0" xfId="0"/>
    <xf numFmtId="165" fontId="0" fillId="5" borderId="0" pivotButton="0" quotePrefix="0" xfId="0"/>
    <xf numFmtId="164" fontId="0" fillId="0" borderId="2" pivotButton="0" quotePrefix="0" xfId="0"/>
    <xf numFmtId="1" fontId="3" fillId="0" borderId="0" pivotButton="0" quotePrefix="0" xfId="0"/>
    <xf numFmtId="49" fontId="3" fillId="0"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Year 1: money not lent, repaid, and interest earned</a:t>
            </a:r>
          </a:p>
        </rich>
      </tx>
    </title>
    <plotArea>
      <barChart>
        <barDir val="col"/>
        <grouping val="clustered"/>
        <ser>
          <idx val="0"/>
          <order val="0"/>
          <spPr>
            <a:ln>
              <a:prstDash val="solid"/>
            </a:ln>
          </spPr>
          <cat>
            <numRef>
              <f>'Fund flow'!$F$41:$F$43</f>
            </numRef>
          </cat>
          <val>
            <numRef>
              <f>'Fund flow'!$G$41:$G$43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Gridlines/>
        <title>
          <tx>
            <rich>
              <a:bodyPr/>
              <a:p>
                <a:pPr>
                  <a:defRPr/>
                </a:pPr>
                <a:r>
                  <a:t>USD</a:t>
                </a:r>
              </a:p>
            </rich>
          </tx>
        </title>
        <numFmt formatCode="&quot;$&quot;#,##0;[Red]-&quot;$&quot;#,##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45</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66"/>
  <sheetViews>
    <sheetView workbookViewId="0">
      <selection activeCell="A1" sqref="A1"/>
    </sheetView>
  </sheetViews>
  <sheetFormatPr baseColWidth="8" defaultRowHeight="15"/>
  <cols>
    <col width="110" customWidth="1" min="1" max="1"/>
  </cols>
  <sheetData>
    <row r="1">
      <c r="A1" s="1" t="inlineStr">
        <is>
          <t>PAMOJA simplified financial model - v0.4 (draft)</t>
        </is>
      </c>
    </row>
    <row r="2">
      <c r="A2" s="2" t="inlineStr">
        <is>
          <t>How $24m flows TAMISEMI -&gt; Lenders -&gt; CMGs as loans, and back as repayments.</t>
        </is>
      </c>
    </row>
    <row r="4">
      <c r="A4" t="inlineStr"/>
    </row>
    <row r="5">
      <c r="A5" s="3" t="inlineStr">
        <is>
          <t>HOW TO USE</t>
        </is>
      </c>
    </row>
    <row r="6">
      <c r="A6" t="inlineStr">
        <is>
          <t>1. Change the yellow cells with blue numbers only. Everything else is a formula.</t>
        </is>
      </c>
    </row>
    <row r="7">
      <c r="A7" t="inlineStr">
        <is>
          <t>2. Inputs: fund size, lending rules, lending timing and the split of interest.</t>
        </is>
      </c>
    </row>
    <row r="8">
      <c r="A8" t="inlineStr">
        <is>
          <t>3. Districts: CMG numbers, savings and loan size per LGA.</t>
        </is>
      </c>
    </row>
    <row r="9">
      <c r="A9" t="inlineStr">
        <is>
          <t>4. Monthly cycle: when loans go out and come back over 24 months (year 1 lending, year 2 run-off).</t>
        </is>
      </c>
    </row>
    <row r="10">
      <c r="A10" t="inlineStr">
        <is>
          <t>5. Fund flow: totals for all loans made in the year, with a check that the corpus is restored.</t>
        </is>
      </c>
    </row>
    <row r="11">
      <c r="A11" t="inlineStr">
        <is>
          <t>6. Open questions: things to settle. Glossary: acronyms and terms.</t>
        </is>
      </c>
    </row>
    <row r="12">
      <c r="A12" t="inlineStr"/>
    </row>
    <row r="13">
      <c r="A13" s="3" t="inlineStr">
        <is>
          <t>IMPORTANT</t>
        </is>
      </c>
    </row>
    <row r="14">
      <c r="A14" t="inlineStr">
        <is>
          <t>- All district data and rates are DUMMY placeholders. Replace them with real figures.</t>
        </is>
      </c>
    </row>
    <row r="15">
      <c r="A15" t="inlineStr">
        <is>
          <t>- The split of interest is a first guess to confirm.</t>
        </is>
      </c>
    </row>
    <row r="16">
      <c r="A16" t="inlineStr"/>
    </row>
    <row r="17">
      <c r="A17" t="inlineStr">
        <is>
          <t>CHANGES IN v0.2</t>
        </is>
      </c>
    </row>
    <row r="18">
      <c r="A18" t="inlineStr">
        <is>
          <t>- Lender discount removed. The lender keeps the margin (what is left after the other shares).</t>
        </is>
      </c>
    </row>
    <row r="19">
      <c r="A19" t="inlineStr">
        <is>
          <t>- Lenders can make new loans in any month of the year, up to a last month you choose.</t>
        </is>
      </c>
    </row>
    <row r="20">
      <c r="A20" t="inlineStr">
        <is>
          <t>- Loan term can be up to 12 months (maximum tenure is an input).</t>
        </is>
      </c>
    </row>
    <row r="21">
      <c r="A21" t="inlineStr">
        <is>
          <t>- Repayments can be lent out again (re-lending %, set to 0% to switch off).</t>
        </is>
      </c>
    </row>
    <row r="22">
      <c r="A22" t="inlineStr">
        <is>
          <t>- Monthly sheet runs 24 months so loans made late in year 1 can finish in year 2.</t>
        </is>
      </c>
    </row>
    <row r="23">
      <c r="A23" t="inlineStr">
        <is>
          <t>- Year-end snapshot: cash back in the fund vs money still out on loan at month 12.</t>
        </is>
      </c>
    </row>
    <row r="24">
      <c r="A24" t="inlineStr"/>
    </row>
    <row r="25">
      <c r="A25" t="inlineStr">
        <is>
          <t>CHANGES IN v0.3</t>
        </is>
      </c>
    </row>
    <row r="26">
      <c r="A26" t="inlineStr">
        <is>
          <t>- All independent inputs (Inputs + Districts) can now come from a config.json file,</t>
        </is>
      </c>
    </row>
    <row r="27">
      <c r="A27" t="inlineStr">
        <is>
          <t xml:space="preserve">  built by the 'PAMOJA Model Inputs' GUI page instead of typed into Excel.</t>
        </is>
      </c>
    </row>
    <row r="28">
      <c r="A28" t="inlineStr">
        <is>
          <t xml:space="preserve">  Run: python3 model/build_model.py config.json</t>
        </is>
      </c>
    </row>
    <row r="29">
      <c r="A29" t="inlineStr">
        <is>
          <t>- Fund flow now has a bar chart: money not lent, principal repaid, interest collected.</t>
        </is>
      </c>
    </row>
    <row r="30">
      <c r="A30" t="inlineStr"/>
    </row>
    <row r="31">
      <c r="A31" t="inlineStr">
        <is>
          <t>CHANGES IN v0.4</t>
        </is>
      </c>
    </row>
    <row r="32">
      <c r="A32" t="inlineStr">
        <is>
          <t>- Region share and LGA share of interest renamed to Region service fee and LGA service fee.</t>
        </is>
      </c>
    </row>
    <row r="33">
      <c r="A33" t="inlineStr">
        <is>
          <t>- New: TAMISEMI share of repaid principal (default 100%) - the rest is kept by the lender.</t>
        </is>
      </c>
    </row>
    <row r="34">
      <c r="A34" t="inlineStr">
        <is>
          <t>- New: Risk share of defaults, split between TAMISEMI and the lender. TAMISEMI absorbs its</t>
        </is>
      </c>
    </row>
    <row r="35">
      <c r="A35" t="inlineStr">
        <is>
          <t xml:space="preserve">  share against the corpus; the lender absorbs the remainder (a computed field) as its own loss,</t>
        </is>
      </c>
    </row>
    <row r="36">
      <c r="A36" t="inlineStr">
        <is>
          <t xml:space="preserve">  and pays that amount back into the fund as risk-share compensation.</t>
        </is>
      </c>
    </row>
    <row r="37">
      <c r="A37" t="inlineStr">
        <is>
          <t>- Fund flow shows both settlements and a 'Lender's net result' line (margin - own risk share</t>
        </is>
      </c>
    </row>
    <row r="38">
      <c r="A38" t="inlineStr">
        <is>
          <t xml:space="preserve">  of defaults + principal kept back).</t>
        </is>
      </c>
    </row>
    <row r="39">
      <c r="A39" t="inlineStr">
        <is>
          <t>- Break-even default rate and the default budget needed now only have to cover TAMISEMI's</t>
        </is>
      </c>
    </row>
    <row r="40">
      <c r="A40" t="inlineStr">
        <is>
          <t xml:space="preserve">  risk share of defaults, not the whole default.</t>
        </is>
      </c>
    </row>
    <row r="41">
      <c r="A41" t="inlineStr"/>
    </row>
    <row r="42">
      <c r="A42" s="3" t="inlineStr">
        <is>
          <t>SIMPLE LOGIC</t>
        </is>
      </c>
    </row>
    <row r="43">
      <c r="A43" t="inlineStr">
        <is>
          <t>- Lending corpus = Total fund - Lender incentives - CMG incentives.</t>
        </is>
      </c>
    </row>
    <row r="44">
      <c r="A44" t="inlineStr">
        <is>
          <t>- Loan per CMG = the smaller of: average loan asked for, or savings x maximum Loan:Savings ratio.</t>
        </is>
      </c>
    </row>
    <row r="45">
      <c r="A45" t="inlineStr">
        <is>
          <t>- If total demand is more than the corpus, every district is scaled down by the same %.</t>
        </is>
      </c>
    </row>
    <row r="46">
      <c r="A46" t="inlineStr">
        <is>
          <t>- Loans are repaid in equal monthly instalments over the term, starting the month after the loan.</t>
        </is>
      </c>
    </row>
    <row r="47">
      <c r="A47" t="inlineStr">
        <is>
          <t>- Interest is flat: rate x loan x term, collected with each instalment.</t>
        </is>
      </c>
    </row>
    <row r="48">
      <c r="A48" t="inlineStr">
        <is>
          <t>- Defaults: the default rate is taken off every instalment (no principal or interest).</t>
        </is>
      </c>
    </row>
    <row r="49">
      <c r="A49" t="inlineStr">
        <is>
          <t>- Re-lending: a % of principal repaid in one month is lent out again the next month, up to the last lending month.</t>
        </is>
      </c>
    </row>
    <row r="50">
      <c r="A50" t="inlineStr">
        <is>
          <t>- Of every instalment repaid, TAMISEMI's share of repaid principal returns to the fund; the rest</t>
        </is>
      </c>
    </row>
    <row r="51">
      <c r="A51" t="inlineStr">
        <is>
          <t xml:space="preserve">  stays with the lender.</t>
        </is>
      </c>
    </row>
    <row r="52">
      <c r="A52" t="inlineStr">
        <is>
          <t>- Of every default, TAMISEMI absorbs its risk share against the corpus; the lender absorbs the</t>
        </is>
      </c>
    </row>
    <row r="53">
      <c r="A53" t="inlineStr">
        <is>
          <t xml:space="preserve">  rest and pays that amount back into the fund.</t>
        </is>
      </c>
    </row>
    <row r="54">
      <c r="A54" t="inlineStr">
        <is>
          <t>- The corpus is restored if the default budget (from interest) covers TAMISEMI's risk share of</t>
        </is>
      </c>
    </row>
    <row r="55">
      <c r="A55" t="inlineStr">
        <is>
          <t xml:space="preserve">  the defaulted principal, after the lender's risk-share payment and any principal it keeps.</t>
        </is>
      </c>
    </row>
    <row r="56">
      <c r="A56" t="inlineStr"/>
    </row>
    <row r="57">
      <c r="A57" s="3" t="inlineStr">
        <is>
          <t>KEY TRADE-OFF</t>
        </is>
      </c>
    </row>
    <row r="58">
      <c r="A58" t="inlineStr">
        <is>
          <t>- For all money to be back as CASH by month 12, the last loan must go out by month (12 - term).</t>
        </is>
      </c>
    </row>
    <row r="59">
      <c r="A59" t="inlineStr">
        <is>
          <t>- With a 12-month term, that means lending only in month 0 - so lending across the cycle means</t>
        </is>
      </c>
    </row>
    <row r="60">
      <c r="A60" t="inlineStr">
        <is>
          <t xml:space="preserve">  some of the corpus is still out on loan at year end. See question 6.</t>
        </is>
      </c>
    </row>
    <row r="61">
      <c r="A61" t="inlineStr"/>
    </row>
    <row r="62">
      <c r="A62" s="3" t="inlineStr">
        <is>
          <t>NOT YET IN THE MODEL</t>
        </is>
      </c>
    </row>
    <row r="63">
      <c r="A63" t="inlineStr">
        <is>
          <t>- Different terms per loan or district; staggered CMG cycles.</t>
        </is>
      </c>
    </row>
    <row r="64">
      <c r="A64" t="inlineStr">
        <is>
          <t>- Multiple lenders per LGA; region-level roll-up.</t>
        </is>
      </c>
    </row>
    <row r="65">
      <c r="A65" t="inlineStr">
        <is>
          <t>- Timing of incentive payments; LGA service fee formula; risk-share formula (Q12 in the flowchart).</t>
        </is>
      </c>
    </row>
    <row r="66">
      <c r="A66" t="inlineStr">
        <is>
          <t>- Exchange rate (TZS / USD) and inflation.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8" customWidth="1" min="1" max="1"/>
    <col width="16" customWidth="1" min="2" max="2"/>
    <col width="8" customWidth="1" min="3" max="3"/>
    <col width="58" customWidth="1" min="4" max="4"/>
  </cols>
  <sheetData>
    <row r="1">
      <c r="A1" s="1" t="inlineStr">
        <is>
          <t>Inputs</t>
        </is>
      </c>
    </row>
    <row r="2">
      <c r="A2" s="2" t="inlineStr">
        <is>
          <t>Yellow cells are inputs. Dummy values - replace with agreed figures.</t>
        </is>
      </c>
    </row>
    <row r="4">
      <c r="A4" s="4" t="inlineStr">
        <is>
          <t>Item</t>
        </is>
      </c>
      <c r="B4" s="4" t="inlineStr">
        <is>
          <t>Value</t>
        </is>
      </c>
      <c r="C4" s="4" t="inlineStr">
        <is>
          <t>Unit</t>
        </is>
      </c>
      <c r="D4" s="4" t="inlineStr">
        <is>
          <t>Note</t>
        </is>
      </c>
    </row>
    <row r="5">
      <c r="A5" s="5" t="inlineStr">
        <is>
          <t>FUND</t>
        </is>
      </c>
      <c r="B5" s="6" t="n"/>
      <c r="C5" s="6" t="n"/>
      <c r="D5" s="6" t="n"/>
    </row>
    <row r="6">
      <c r="A6" t="inlineStr">
        <is>
          <t>Total PAMOJA fund</t>
        </is>
      </c>
      <c r="B6" s="7" t="n">
        <v>24000000</v>
      </c>
      <c r="C6" t="inlineStr">
        <is>
          <t>USD</t>
        </is>
      </c>
      <c r="D6" t="inlineStr">
        <is>
          <t>From TAMISEMI</t>
        </is>
      </c>
    </row>
    <row r="7">
      <c r="A7" t="inlineStr">
        <is>
          <t>Lender incentives (set aside)</t>
        </is>
      </c>
      <c r="B7" s="7" t="n">
        <v>2000000</v>
      </c>
      <c r="C7" t="inlineStr">
        <is>
          <t>USD</t>
        </is>
      </c>
      <c r="D7" t="inlineStr">
        <is>
          <t>Not lent out</t>
        </is>
      </c>
    </row>
    <row r="8">
      <c r="A8" t="inlineStr">
        <is>
          <t>CMG incentives (set aside)</t>
        </is>
      </c>
      <c r="B8" s="7" t="n">
        <v>2000000</v>
      </c>
      <c r="C8" t="inlineStr">
        <is>
          <t>USD</t>
        </is>
      </c>
      <c r="D8" t="inlineStr">
        <is>
          <t>Not lent out</t>
        </is>
      </c>
    </row>
    <row r="9">
      <c r="A9" t="inlineStr">
        <is>
          <t>Lending corpus</t>
        </is>
      </c>
      <c r="B9" s="8">
        <f>B6-B7-B8</f>
        <v/>
      </c>
      <c r="C9" t="inlineStr">
        <is>
          <t>USD</t>
        </is>
      </c>
      <c r="D9" t="inlineStr">
        <is>
          <t>Money available to lend</t>
        </is>
      </c>
    </row>
    <row r="10">
      <c r="A10" s="5" t="inlineStr">
        <is>
          <t>LENDING RULES</t>
        </is>
      </c>
      <c r="B10" s="6" t="n"/>
      <c r="C10" s="6" t="n"/>
      <c r="D10" s="6" t="n"/>
    </row>
    <row r="11">
      <c r="A11" t="inlineStr">
        <is>
          <t>Maximum Loan:Savings ratio</t>
        </is>
      </c>
      <c r="B11" s="9" t="n">
        <v>0.5</v>
      </c>
      <c r="C11" t="inlineStr">
        <is>
          <t>x</t>
        </is>
      </c>
      <c r="D11" t="inlineStr">
        <is>
          <t>Loan must not exceed this x CMG savings</t>
        </is>
      </c>
    </row>
    <row r="12">
      <c r="A12" t="inlineStr">
        <is>
          <t>Interest rate (flat, per year)</t>
        </is>
      </c>
      <c r="B12" s="10" t="n">
        <v>0.18</v>
      </c>
      <c r="C12" t="inlineStr">
        <is>
          <t>%</t>
        </is>
      </c>
      <c r="D12" t="inlineStr">
        <is>
          <t>Placeholder; must be at or below TAMISEMI ceiling</t>
        </is>
      </c>
    </row>
    <row r="13">
      <c r="A13" t="inlineStr">
        <is>
          <t>Maximum loan tenure</t>
        </is>
      </c>
      <c r="B13" s="11" t="n">
        <v>12</v>
      </c>
      <c r="C13" t="inlineStr">
        <is>
          <t>months</t>
        </is>
      </c>
      <c r="D13" t="inlineStr">
        <is>
          <t>Policy limit</t>
        </is>
      </c>
    </row>
    <row r="14">
      <c r="A14" t="inlineStr">
        <is>
          <t>Loan term used in the model</t>
        </is>
      </c>
      <c r="B14" s="11" t="n">
        <v>6</v>
      </c>
      <c r="C14" t="inlineStr">
        <is>
          <t>months</t>
        </is>
      </c>
      <c r="D14" t="inlineStr">
        <is>
          <t>Must be 1 to the maximum tenure</t>
        </is>
      </c>
    </row>
    <row r="15">
      <c r="A15" t="inlineStr">
        <is>
          <t>Check: term within maximum</t>
        </is>
      </c>
      <c r="B15" s="12">
        <f>IF(AND(B14&gt;=1,B14&lt;=B13),"OK","ERROR: term above maximum tenure")</f>
        <v/>
      </c>
      <c r="C15" t="inlineStr"/>
      <c r="D15" t="inlineStr"/>
    </row>
    <row r="16">
      <c r="A16" t="inlineStr">
        <is>
          <t>Portfolio default rate (budget)</t>
        </is>
      </c>
      <c r="B16" s="10" t="n">
        <v>0.05</v>
      </c>
      <c r="C16" t="inlineStr">
        <is>
          <t>%</t>
        </is>
      </c>
      <c r="D16" t="inlineStr">
        <is>
          <t>% of principal lent that is not repaid</t>
        </is>
      </c>
    </row>
    <row r="17">
      <c r="A17" s="5" t="inlineStr">
        <is>
          <t>LENDING TIMING (across the cycle)</t>
        </is>
      </c>
      <c r="B17" s="6" t="n"/>
      <c r="C17" s="6" t="n"/>
      <c r="D17" s="6" t="n"/>
    </row>
    <row r="18">
      <c r="A18" t="inlineStr">
        <is>
          <t>Last month lenders can make new loans</t>
        </is>
      </c>
      <c r="B18" s="11" t="n">
        <v>12</v>
      </c>
      <c r="C18" t="inlineStr">
        <is>
          <t>month</t>
        </is>
      </c>
      <c r="D18" t="inlineStr">
        <is>
          <t>1 to 12. Spread of new loans is set on 'Monthly cycle'</t>
        </is>
      </c>
    </row>
    <row r="19">
      <c r="A19" t="inlineStr">
        <is>
          <t>% of principal repaid that is lent out again</t>
        </is>
      </c>
      <c r="B19" s="10" t="n">
        <v>0</v>
      </c>
      <c r="C19" t="inlineStr">
        <is>
          <t>%</t>
        </is>
      </c>
      <c r="D19" t="inlineStr">
        <is>
          <t>0% = no re-lending (see question 4)</t>
        </is>
      </c>
    </row>
    <row r="20">
      <c r="A20" t="inlineStr">
        <is>
          <t>Latest month to lend if all cash must be back by month 12</t>
        </is>
      </c>
      <c r="B20" s="13">
        <f>MAX(0,12-B14)</f>
        <v/>
      </c>
      <c r="C20" t="inlineStr">
        <is>
          <t>month</t>
        </is>
      </c>
      <c r="D20" t="inlineStr">
        <is>
          <t>0 means only at the very start of the year</t>
        </is>
      </c>
    </row>
    <row r="21">
      <c r="A21" s="5" t="inlineStr">
        <is>
          <t>SPLIT OF INTEREST COLLECTED</t>
        </is>
      </c>
      <c r="B21" s="6" t="n"/>
      <c r="C21" s="6" t="n"/>
      <c r="D21" s="6" t="n"/>
    </row>
    <row r="22">
      <c r="A22" t="inlineStr">
        <is>
          <t>Default budget (loss reserve)</t>
        </is>
      </c>
      <c r="B22" s="10" t="n">
        <v>0.3</v>
      </c>
      <c r="C22" t="inlineStr">
        <is>
          <t>%</t>
        </is>
      </c>
      <c r="D22" t="inlineStr">
        <is>
          <t>Returned to fund to cover defaults</t>
        </is>
      </c>
    </row>
    <row r="23">
      <c r="A23" t="inlineStr">
        <is>
          <t>TAMISEMI share of interest</t>
        </is>
      </c>
      <c r="B23" s="10" t="n">
        <v>0.1</v>
      </c>
      <c r="C23" t="inlineStr">
        <is>
          <t>%</t>
        </is>
      </c>
      <c r="D23" t="inlineStr">
        <is>
          <t>Placeholder</t>
        </is>
      </c>
    </row>
    <row r="24">
      <c r="A24" t="inlineStr">
        <is>
          <t>Region service fee</t>
        </is>
      </c>
      <c r="B24" s="10" t="n">
        <v>0.05</v>
      </c>
      <c r="C24" t="inlineStr">
        <is>
          <t>%</t>
        </is>
      </c>
      <c r="D24" t="inlineStr">
        <is>
          <t>Placeholder</t>
        </is>
      </c>
    </row>
    <row r="25">
      <c r="A25" t="inlineStr">
        <is>
          <t>LGA service fee</t>
        </is>
      </c>
      <c r="B25" s="10" t="n">
        <v>0.05</v>
      </c>
      <c r="C25" t="inlineStr">
        <is>
          <t>%</t>
        </is>
      </c>
      <c r="D25" t="inlineStr">
        <is>
          <t>Placeholder</t>
        </is>
      </c>
    </row>
    <row r="26">
      <c r="A26" t="inlineStr">
        <is>
          <t>Lender margin (remainder)</t>
        </is>
      </c>
      <c r="B26" s="14">
        <f>1-SUM(B22:B25)</f>
        <v/>
      </c>
      <c r="C26" t="inlineStr">
        <is>
          <t>%</t>
        </is>
      </c>
      <c r="D26" t="inlineStr">
        <is>
          <t>What is left for the lender</t>
        </is>
      </c>
    </row>
    <row r="27">
      <c r="A27" t="inlineStr">
        <is>
          <t>Check: split adds to 100% or less</t>
        </is>
      </c>
      <c r="B27" s="12">
        <f>IF(B26&gt;=0,"OK","ERROR: over 100%")</f>
        <v/>
      </c>
      <c r="C27" t="inlineStr"/>
      <c r="D27" t="inlineStr"/>
    </row>
    <row r="28">
      <c r="A28" s="5" t="inlineStr">
        <is>
          <t>PRINCIPAL SETTLEMENT AND RISK SHARE</t>
        </is>
      </c>
      <c r="B28" s="6" t="n"/>
      <c r="C28" s="6" t="n"/>
      <c r="D28" s="6" t="n"/>
    </row>
    <row r="29">
      <c r="A29" t="inlineStr">
        <is>
          <t>TAMISEMI share of repaid principal</t>
        </is>
      </c>
      <c r="B29" s="10" t="n">
        <v>1</v>
      </c>
      <c r="C29" t="inlineStr">
        <is>
          <t>%</t>
        </is>
      </c>
      <c r="D29" t="inlineStr">
        <is>
          <t>Share of every repaid instalment returned to the TAMISEMI corpus</t>
        </is>
      </c>
    </row>
    <row r="30">
      <c r="A30" t="inlineStr">
        <is>
          <t>Lender share of repaid principal (remainder)</t>
        </is>
      </c>
      <c r="B30" s="14">
        <f>1-B29</f>
        <v/>
      </c>
      <c r="C30" t="inlineStr">
        <is>
          <t>%</t>
        </is>
      </c>
      <c r="D30" t="inlineStr">
        <is>
          <t>Kept by the lender; computed from the TAMISEMI share above</t>
        </is>
      </c>
    </row>
    <row r="31">
      <c r="A31" t="inlineStr">
        <is>
          <t>TAMISEMI risk share of defaults</t>
        </is>
      </c>
      <c r="B31" s="10" t="n">
        <v>0.5</v>
      </c>
      <c r="C31" t="inlineStr">
        <is>
          <t>%</t>
        </is>
      </c>
      <c r="D31" t="inlineStr">
        <is>
          <t>Share of every default TAMISEMI absorbs against the corpus. Placeholder - see question 12</t>
        </is>
      </c>
    </row>
    <row r="32">
      <c r="A32" t="inlineStr">
        <is>
          <t>Lender risk share of defaults (remainder)</t>
        </is>
      </c>
      <c r="B32" s="14">
        <f>1-B31</f>
        <v/>
      </c>
      <c r="C32" t="inlineStr">
        <is>
          <t>%</t>
        </is>
      </c>
      <c r="D32" t="inlineStr">
        <is>
          <t>The lender's own loss on a default; computed from the TAMISEMI risk share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1" t="inlineStr">
        <is>
          <t>Allocation by district (LGA)</t>
        </is>
      </c>
    </row>
    <row r="2">
      <c r="A2" s="2" t="inlineStr">
        <is>
          <t>Dummy data. Add real LGAs in the yellow cells; up to 20 rows. Allocates the first round of lending only.</t>
        </is>
      </c>
    </row>
    <row r="4" ht="45" customHeight="1">
      <c r="A4" s="4" t="inlineStr">
        <is>
          <t>District (LGA)</t>
        </is>
      </c>
      <c r="B4" s="4" t="inlineStr">
        <is>
          <t>Number of CMGs</t>
        </is>
      </c>
      <c r="C4" s="4" t="inlineStr">
        <is>
          <t>Average savings per CMG (USD)</t>
        </is>
      </c>
      <c r="D4" s="4" t="inlineStr">
        <is>
          <t>Average loan asked per CMG (USD)</t>
        </is>
      </c>
      <c r="E4" s="4" t="inlineStr">
        <is>
          <t>Loan cap per CMG = savings x ratio</t>
        </is>
      </c>
      <c r="F4" s="4" t="inlineStr">
        <is>
          <t>Loan per CMG (smaller of the two)</t>
        </is>
      </c>
      <c r="G4" s="4" t="inlineStr">
        <is>
          <t>Loan:Savings ratio used</t>
        </is>
      </c>
      <c r="H4" s="4" t="inlineStr">
        <is>
          <t>Demand (USD)</t>
        </is>
      </c>
      <c r="I4" s="4" t="inlineStr">
        <is>
          <t>Allocation (USD)</t>
        </is>
      </c>
      <c r="J4" s="4" t="inlineStr">
        <is>
          <t>Share of corpus</t>
        </is>
      </c>
    </row>
    <row r="5">
      <c r="A5" s="15" t="inlineStr">
        <is>
          <t>District A</t>
        </is>
      </c>
      <c r="B5" s="16" t="n">
        <v>2500</v>
      </c>
      <c r="C5" s="7" t="n">
        <v>4000</v>
      </c>
      <c r="D5" s="7" t="n">
        <v>2500</v>
      </c>
      <c r="E5" s="17">
        <f>IF(B5="","",C5*Inputs!$B$11)</f>
        <v/>
      </c>
      <c r="F5" s="17">
        <f>IF(B5="","",MIN(D5,E5))</f>
        <v/>
      </c>
      <c r="G5" s="18">
        <f>IF(B5="","",F5/C5)</f>
        <v/>
      </c>
      <c r="H5" s="17">
        <f>IF(B5="",0,B5*F5)</f>
        <v/>
      </c>
      <c r="I5" s="17">
        <f>IF(B5="",0,H5*$B$28)</f>
        <v/>
      </c>
      <c r="J5" s="19">
        <f>IF(B5="","",I5/Inputs!$B$9)</f>
        <v/>
      </c>
    </row>
    <row r="6">
      <c r="A6" s="15" t="inlineStr">
        <is>
          <t>District B</t>
        </is>
      </c>
      <c r="B6" s="16" t="n">
        <v>1800</v>
      </c>
      <c r="C6" s="7" t="n">
        <v>3000</v>
      </c>
      <c r="D6" s="7" t="n">
        <v>2000</v>
      </c>
      <c r="E6" s="17">
        <f>IF(B6="","",C6*Inputs!$B$11)</f>
        <v/>
      </c>
      <c r="F6" s="17">
        <f>IF(B6="","",MIN(D6,E6))</f>
        <v/>
      </c>
      <c r="G6" s="18">
        <f>IF(B6="","",F6/C6)</f>
        <v/>
      </c>
      <c r="H6" s="17">
        <f>IF(B6="",0,B6*F6)</f>
        <v/>
      </c>
      <c r="I6" s="17">
        <f>IF(B6="",0,H6*$B$28)</f>
        <v/>
      </c>
      <c r="J6" s="19">
        <f>IF(B6="","",I6/Inputs!$B$9)</f>
        <v/>
      </c>
    </row>
    <row r="7">
      <c r="A7" s="15" t="inlineStr">
        <is>
          <t>District C</t>
        </is>
      </c>
      <c r="B7" s="16" t="n">
        <v>3200</v>
      </c>
      <c r="C7" s="7" t="n">
        <v>5000</v>
      </c>
      <c r="D7" s="7" t="n">
        <v>3000</v>
      </c>
      <c r="E7" s="17">
        <f>IF(B7="","",C7*Inputs!$B$11)</f>
        <v/>
      </c>
      <c r="F7" s="17">
        <f>IF(B7="","",MIN(D7,E7))</f>
        <v/>
      </c>
      <c r="G7" s="18">
        <f>IF(B7="","",F7/C7)</f>
        <v/>
      </c>
      <c r="H7" s="17">
        <f>IF(B7="",0,B7*F7)</f>
        <v/>
      </c>
      <c r="I7" s="17">
        <f>IF(B7="",0,H7*$B$28)</f>
        <v/>
      </c>
      <c r="J7" s="19">
        <f>IF(B7="","",I7/Inputs!$B$9)</f>
        <v/>
      </c>
    </row>
    <row r="8">
      <c r="A8" s="15" t="inlineStr">
        <is>
          <t>District D</t>
        </is>
      </c>
      <c r="B8" s="16" t="n">
        <v>1500</v>
      </c>
      <c r="C8" s="7" t="n">
        <v>3500</v>
      </c>
      <c r="D8" s="7" t="n">
        <v>1500</v>
      </c>
      <c r="E8" s="17">
        <f>IF(B8="","",C8*Inputs!$B$11)</f>
        <v/>
      </c>
      <c r="F8" s="17">
        <f>IF(B8="","",MIN(D8,E8))</f>
        <v/>
      </c>
      <c r="G8" s="18">
        <f>IF(B8="","",F8/C8)</f>
        <v/>
      </c>
      <c r="H8" s="17">
        <f>IF(B8="",0,B8*F8)</f>
        <v/>
      </c>
      <c r="I8" s="17">
        <f>IF(B8="",0,H8*$B$28)</f>
        <v/>
      </c>
      <c r="J8" s="19">
        <f>IF(B8="","",I8/Inputs!$B$9)</f>
        <v/>
      </c>
    </row>
    <row r="9">
      <c r="A9" s="15" t="inlineStr">
        <is>
          <t>District E</t>
        </is>
      </c>
      <c r="B9" s="16" t="n">
        <v>2000</v>
      </c>
      <c r="C9" s="7" t="n">
        <v>4500</v>
      </c>
      <c r="D9" s="7" t="n">
        <v>2500</v>
      </c>
      <c r="E9" s="17">
        <f>IF(B9="","",C9*Inputs!$B$11)</f>
        <v/>
      </c>
      <c r="F9" s="17">
        <f>IF(B9="","",MIN(D9,E9))</f>
        <v/>
      </c>
      <c r="G9" s="18">
        <f>IF(B9="","",F9/C9)</f>
        <v/>
      </c>
      <c r="H9" s="17">
        <f>IF(B9="",0,B9*F9)</f>
        <v/>
      </c>
      <c r="I9" s="17">
        <f>IF(B9="",0,H9*$B$28)</f>
        <v/>
      </c>
      <c r="J9" s="19">
        <f>IF(B9="","",I9/Inputs!$B$9)</f>
        <v/>
      </c>
    </row>
    <row r="10">
      <c r="A10" s="15" t="n"/>
      <c r="B10" s="16" t="n"/>
      <c r="C10" s="7" t="n"/>
      <c r="D10" s="7" t="n"/>
      <c r="E10" s="17">
        <f>IF(B10="","",C10*Inputs!$B$11)</f>
        <v/>
      </c>
      <c r="F10" s="17">
        <f>IF(B10="","",MIN(D10,E10))</f>
        <v/>
      </c>
      <c r="G10" s="18">
        <f>IF(B10="","",F10/C10)</f>
        <v/>
      </c>
      <c r="H10" s="17">
        <f>IF(B10="",0,B10*F10)</f>
        <v/>
      </c>
      <c r="I10" s="17">
        <f>IF(B10="",0,H10*$B$28)</f>
        <v/>
      </c>
      <c r="J10" s="19">
        <f>IF(B10="","",I10/Inputs!$B$9)</f>
        <v/>
      </c>
    </row>
    <row r="11">
      <c r="A11" s="15" t="n"/>
      <c r="B11" s="16" t="n"/>
      <c r="C11" s="7" t="n"/>
      <c r="D11" s="7" t="n"/>
      <c r="E11" s="17">
        <f>IF(B11="","",C11*Inputs!$B$11)</f>
        <v/>
      </c>
      <c r="F11" s="17">
        <f>IF(B11="","",MIN(D11,E11))</f>
        <v/>
      </c>
      <c r="G11" s="18">
        <f>IF(B11="","",F11/C11)</f>
        <v/>
      </c>
      <c r="H11" s="17">
        <f>IF(B11="",0,B11*F11)</f>
        <v/>
      </c>
      <c r="I11" s="17">
        <f>IF(B11="",0,H11*$B$28)</f>
        <v/>
      </c>
      <c r="J11" s="19">
        <f>IF(B11="","",I11/Inputs!$B$9)</f>
        <v/>
      </c>
    </row>
    <row r="12">
      <c r="A12" s="15" t="n"/>
      <c r="B12" s="16" t="n"/>
      <c r="C12" s="7" t="n"/>
      <c r="D12" s="7" t="n"/>
      <c r="E12" s="17">
        <f>IF(B12="","",C12*Inputs!$B$11)</f>
        <v/>
      </c>
      <c r="F12" s="17">
        <f>IF(B12="","",MIN(D12,E12))</f>
        <v/>
      </c>
      <c r="G12" s="18">
        <f>IF(B12="","",F12/C12)</f>
        <v/>
      </c>
      <c r="H12" s="17">
        <f>IF(B12="",0,B12*F12)</f>
        <v/>
      </c>
      <c r="I12" s="17">
        <f>IF(B12="",0,H12*$B$28)</f>
        <v/>
      </c>
      <c r="J12" s="19">
        <f>IF(B12="","",I12/Inputs!$B$9)</f>
        <v/>
      </c>
    </row>
    <row r="13">
      <c r="A13" s="15" t="n"/>
      <c r="B13" s="16" t="n"/>
      <c r="C13" s="7" t="n"/>
      <c r="D13" s="7" t="n"/>
      <c r="E13" s="17">
        <f>IF(B13="","",C13*Inputs!$B$11)</f>
        <v/>
      </c>
      <c r="F13" s="17">
        <f>IF(B13="","",MIN(D13,E13))</f>
        <v/>
      </c>
      <c r="G13" s="18">
        <f>IF(B13="","",F13/C13)</f>
        <v/>
      </c>
      <c r="H13" s="17">
        <f>IF(B13="",0,B13*F13)</f>
        <v/>
      </c>
      <c r="I13" s="17">
        <f>IF(B13="",0,H13*$B$28)</f>
        <v/>
      </c>
      <c r="J13" s="19">
        <f>IF(B13="","",I13/Inputs!$B$9)</f>
        <v/>
      </c>
    </row>
    <row r="14">
      <c r="A14" s="15" t="n"/>
      <c r="B14" s="16" t="n"/>
      <c r="C14" s="7" t="n"/>
      <c r="D14" s="7" t="n"/>
      <c r="E14" s="17">
        <f>IF(B14="","",C14*Inputs!$B$11)</f>
        <v/>
      </c>
      <c r="F14" s="17">
        <f>IF(B14="","",MIN(D14,E14))</f>
        <v/>
      </c>
      <c r="G14" s="18">
        <f>IF(B14="","",F14/C14)</f>
        <v/>
      </c>
      <c r="H14" s="17">
        <f>IF(B14="",0,B14*F14)</f>
        <v/>
      </c>
      <c r="I14" s="17">
        <f>IF(B14="",0,H14*$B$28)</f>
        <v/>
      </c>
      <c r="J14" s="19">
        <f>IF(B14="","",I14/Inputs!$B$9)</f>
        <v/>
      </c>
    </row>
    <row r="15">
      <c r="A15" s="15" t="n"/>
      <c r="B15" s="16" t="n"/>
      <c r="C15" s="7" t="n"/>
      <c r="D15" s="7" t="n"/>
      <c r="E15" s="17">
        <f>IF(B15="","",C15*Inputs!$B$11)</f>
        <v/>
      </c>
      <c r="F15" s="17">
        <f>IF(B15="","",MIN(D15,E15))</f>
        <v/>
      </c>
      <c r="G15" s="18">
        <f>IF(B15="","",F15/C15)</f>
        <v/>
      </c>
      <c r="H15" s="17">
        <f>IF(B15="",0,B15*F15)</f>
        <v/>
      </c>
      <c r="I15" s="17">
        <f>IF(B15="",0,H15*$B$28)</f>
        <v/>
      </c>
      <c r="J15" s="19">
        <f>IF(B15="","",I15/Inputs!$B$9)</f>
        <v/>
      </c>
    </row>
    <row r="16">
      <c r="A16" s="15" t="n"/>
      <c r="B16" s="16" t="n"/>
      <c r="C16" s="7" t="n"/>
      <c r="D16" s="7" t="n"/>
      <c r="E16" s="17">
        <f>IF(B16="","",C16*Inputs!$B$11)</f>
        <v/>
      </c>
      <c r="F16" s="17">
        <f>IF(B16="","",MIN(D16,E16))</f>
        <v/>
      </c>
      <c r="G16" s="18">
        <f>IF(B16="","",F16/C16)</f>
        <v/>
      </c>
      <c r="H16" s="17">
        <f>IF(B16="",0,B16*F16)</f>
        <v/>
      </c>
      <c r="I16" s="17">
        <f>IF(B16="",0,H16*$B$28)</f>
        <v/>
      </c>
      <c r="J16" s="19">
        <f>IF(B16="","",I16/Inputs!$B$9)</f>
        <v/>
      </c>
    </row>
    <row r="17">
      <c r="A17" s="15" t="n"/>
      <c r="B17" s="16" t="n"/>
      <c r="C17" s="7" t="n"/>
      <c r="D17" s="7" t="n"/>
      <c r="E17" s="17">
        <f>IF(B17="","",C17*Inputs!$B$11)</f>
        <v/>
      </c>
      <c r="F17" s="17">
        <f>IF(B17="","",MIN(D17,E17))</f>
        <v/>
      </c>
      <c r="G17" s="18">
        <f>IF(B17="","",F17/C17)</f>
        <v/>
      </c>
      <c r="H17" s="17">
        <f>IF(B17="",0,B17*F17)</f>
        <v/>
      </c>
      <c r="I17" s="17">
        <f>IF(B17="",0,H17*$B$28)</f>
        <v/>
      </c>
      <c r="J17" s="19">
        <f>IF(B17="","",I17/Inputs!$B$9)</f>
        <v/>
      </c>
    </row>
    <row r="18">
      <c r="A18" s="15" t="n"/>
      <c r="B18" s="16" t="n"/>
      <c r="C18" s="7" t="n"/>
      <c r="D18" s="7" t="n"/>
      <c r="E18" s="17">
        <f>IF(B18="","",C18*Inputs!$B$11)</f>
        <v/>
      </c>
      <c r="F18" s="17">
        <f>IF(B18="","",MIN(D18,E18))</f>
        <v/>
      </c>
      <c r="G18" s="18">
        <f>IF(B18="","",F18/C18)</f>
        <v/>
      </c>
      <c r="H18" s="17">
        <f>IF(B18="",0,B18*F18)</f>
        <v/>
      </c>
      <c r="I18" s="17">
        <f>IF(B18="",0,H18*$B$28)</f>
        <v/>
      </c>
      <c r="J18" s="19">
        <f>IF(B18="","",I18/Inputs!$B$9)</f>
        <v/>
      </c>
    </row>
    <row r="19">
      <c r="A19" s="15" t="n"/>
      <c r="B19" s="16" t="n"/>
      <c r="C19" s="7" t="n"/>
      <c r="D19" s="7" t="n"/>
      <c r="E19" s="17">
        <f>IF(B19="","",C19*Inputs!$B$11)</f>
        <v/>
      </c>
      <c r="F19" s="17">
        <f>IF(B19="","",MIN(D19,E19))</f>
        <v/>
      </c>
      <c r="G19" s="18">
        <f>IF(B19="","",F19/C19)</f>
        <v/>
      </c>
      <c r="H19" s="17">
        <f>IF(B19="",0,B19*F19)</f>
        <v/>
      </c>
      <c r="I19" s="17">
        <f>IF(B19="",0,H19*$B$28)</f>
        <v/>
      </c>
      <c r="J19" s="19">
        <f>IF(B19="","",I19/Inputs!$B$9)</f>
        <v/>
      </c>
    </row>
    <row r="20">
      <c r="A20" s="15" t="n"/>
      <c r="B20" s="16" t="n"/>
      <c r="C20" s="7" t="n"/>
      <c r="D20" s="7" t="n"/>
      <c r="E20" s="17">
        <f>IF(B20="","",C20*Inputs!$B$11)</f>
        <v/>
      </c>
      <c r="F20" s="17">
        <f>IF(B20="","",MIN(D20,E20))</f>
        <v/>
      </c>
      <c r="G20" s="18">
        <f>IF(B20="","",F20/C20)</f>
        <v/>
      </c>
      <c r="H20" s="17">
        <f>IF(B20="",0,B20*F20)</f>
        <v/>
      </c>
      <c r="I20" s="17">
        <f>IF(B20="",0,H20*$B$28)</f>
        <v/>
      </c>
      <c r="J20" s="19">
        <f>IF(B20="","",I20/Inputs!$B$9)</f>
        <v/>
      </c>
    </row>
    <row r="21">
      <c r="A21" s="15" t="n"/>
      <c r="B21" s="16" t="n"/>
      <c r="C21" s="7" t="n"/>
      <c r="D21" s="7" t="n"/>
      <c r="E21" s="17">
        <f>IF(B21="","",C21*Inputs!$B$11)</f>
        <v/>
      </c>
      <c r="F21" s="17">
        <f>IF(B21="","",MIN(D21,E21))</f>
        <v/>
      </c>
      <c r="G21" s="18">
        <f>IF(B21="","",F21/C21)</f>
        <v/>
      </c>
      <c r="H21" s="17">
        <f>IF(B21="",0,B21*F21)</f>
        <v/>
      </c>
      <c r="I21" s="17">
        <f>IF(B21="",0,H21*$B$28)</f>
        <v/>
      </c>
      <c r="J21" s="19">
        <f>IF(B21="","",I21/Inputs!$B$9)</f>
        <v/>
      </c>
    </row>
    <row r="22">
      <c r="A22" s="15" t="n"/>
      <c r="B22" s="16" t="n"/>
      <c r="C22" s="7" t="n"/>
      <c r="D22" s="7" t="n"/>
      <c r="E22" s="17">
        <f>IF(B22="","",C22*Inputs!$B$11)</f>
        <v/>
      </c>
      <c r="F22" s="17">
        <f>IF(B22="","",MIN(D22,E22))</f>
        <v/>
      </c>
      <c r="G22" s="18">
        <f>IF(B22="","",F22/C22)</f>
        <v/>
      </c>
      <c r="H22" s="17">
        <f>IF(B22="",0,B22*F22)</f>
        <v/>
      </c>
      <c r="I22" s="17">
        <f>IF(B22="",0,H22*$B$28)</f>
        <v/>
      </c>
      <c r="J22" s="19">
        <f>IF(B22="","",I22/Inputs!$B$9)</f>
        <v/>
      </c>
    </row>
    <row r="23">
      <c r="A23" s="15" t="n"/>
      <c r="B23" s="16" t="n"/>
      <c r="C23" s="7" t="n"/>
      <c r="D23" s="7" t="n"/>
      <c r="E23" s="17">
        <f>IF(B23="","",C23*Inputs!$B$11)</f>
        <v/>
      </c>
      <c r="F23" s="17">
        <f>IF(B23="","",MIN(D23,E23))</f>
        <v/>
      </c>
      <c r="G23" s="18">
        <f>IF(B23="","",F23/C23)</f>
        <v/>
      </c>
      <c r="H23" s="17">
        <f>IF(B23="",0,B23*F23)</f>
        <v/>
      </c>
      <c r="I23" s="17">
        <f>IF(B23="",0,H23*$B$28)</f>
        <v/>
      </c>
      <c r="J23" s="19">
        <f>IF(B23="","",I23/Inputs!$B$9)</f>
        <v/>
      </c>
    </row>
    <row r="24">
      <c r="A24" s="15" t="n"/>
      <c r="B24" s="16" t="n"/>
      <c r="C24" s="7" t="n"/>
      <c r="D24" s="7" t="n"/>
      <c r="E24" s="17">
        <f>IF(B24="","",C24*Inputs!$B$11)</f>
        <v/>
      </c>
      <c r="F24" s="17">
        <f>IF(B24="","",MIN(D24,E24))</f>
        <v/>
      </c>
      <c r="G24" s="18">
        <f>IF(B24="","",F24/C24)</f>
        <v/>
      </c>
      <c r="H24" s="17">
        <f>IF(B24="",0,B24*F24)</f>
        <v/>
      </c>
      <c r="I24" s="17">
        <f>IF(B24="",0,H24*$B$28)</f>
        <v/>
      </c>
      <c r="J24" s="19">
        <f>IF(B24="","",I24/Inputs!$B$9)</f>
        <v/>
      </c>
    </row>
    <row r="25">
      <c r="A25" s="3" t="inlineStr">
        <is>
          <t>TOTAL</t>
        </is>
      </c>
      <c r="B25" s="20">
        <f>SUM(B5:B24)</f>
        <v/>
      </c>
      <c r="H25" s="21">
        <f>SUM(H5:H24)</f>
        <v/>
      </c>
      <c r="I25" s="21">
        <f>SUM(I5:I24)</f>
        <v/>
      </c>
      <c r="J25" s="22">
        <f>SUM(J5:J24)</f>
        <v/>
      </c>
    </row>
    <row r="27">
      <c r="A27" t="inlineStr">
        <is>
          <t>Lending corpus</t>
        </is>
      </c>
      <c r="B27" s="21">
        <f>Inputs!$B$9</f>
        <v/>
      </c>
    </row>
    <row r="28">
      <c r="A28" t="inlineStr">
        <is>
          <t>Scale factor (1 = full demand met)</t>
        </is>
      </c>
      <c r="B28" s="23">
        <f>IF(H25=0,0,MIN(1,B27/H25))</f>
        <v/>
      </c>
    </row>
    <row r="29">
      <c r="A29" t="inlineStr">
        <is>
          <t>Corpus not used</t>
        </is>
      </c>
      <c r="B29" s="21">
        <f>B27-I25</f>
        <v/>
      </c>
    </row>
    <row r="30">
      <c r="A30" t="inlineStr">
        <is>
          <t>Demand not met</t>
        </is>
      </c>
      <c r="B30" s="21">
        <f>H25-I25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44" customWidth="1" min="1" max="1"/>
    <col width="18" customWidth="1" min="2" max="2"/>
    <col width="24" customWidth="1" min="3" max="3"/>
    <col width="48" customWidth="1" min="4" max="4"/>
  </cols>
  <sheetData>
    <row r="1">
      <c r="A1" s="1" t="inlineStr">
        <is>
          <t>Fund flow: all loans made in year 1, until they close</t>
        </is>
      </c>
    </row>
    <row r="2">
      <c r="A2" s="2" t="inlineStr">
        <is>
          <t>TAMISEMI -&gt; Lenders -&gt; CMGs -&gt; back. All formulas; totals come from 'Monthly cycle'.</t>
        </is>
      </c>
    </row>
    <row r="4">
      <c r="A4" s="4" t="inlineStr">
        <is>
          <t>Step</t>
        </is>
      </c>
      <c r="B4" s="4" t="inlineStr">
        <is>
          <t>Amount (USD)</t>
        </is>
      </c>
      <c r="C4" s="4" t="inlineStr">
        <is>
          <t>From -&gt; To</t>
        </is>
      </c>
      <c r="D4" s="4" t="inlineStr">
        <is>
          <t>How it is worked out</t>
        </is>
      </c>
    </row>
    <row r="5">
      <c r="A5" s="5" t="inlineStr">
        <is>
          <t>1. MONEY OUT</t>
        </is>
      </c>
      <c r="B5" s="6" t="n"/>
      <c r="C5" s="6" t="n"/>
      <c r="D5" s="6" t="n"/>
    </row>
    <row r="6">
      <c r="A6" t="inlineStr">
        <is>
          <t>Total PAMOJA fund</t>
        </is>
      </c>
      <c r="B6" s="24">
        <f>Inputs!$B$6</f>
        <v/>
      </c>
      <c r="C6" t="inlineStr">
        <is>
          <t>TAMISEMI</t>
        </is>
      </c>
      <c r="D6" t="inlineStr"/>
    </row>
    <row r="7">
      <c r="A7" t="inlineStr">
        <is>
          <t>Lender incentives set aside</t>
        </is>
      </c>
      <c r="B7" s="24">
        <f>Inputs!$B$7</f>
        <v/>
      </c>
      <c r="C7" t="inlineStr">
        <is>
          <t>TAMISEMI -&gt; Lenders</t>
        </is>
      </c>
      <c r="D7" t="inlineStr">
        <is>
          <t>Paid later, not lent</t>
        </is>
      </c>
    </row>
    <row r="8">
      <c r="A8" t="inlineStr">
        <is>
          <t>CMG incentives set aside</t>
        </is>
      </c>
      <c r="B8" s="24">
        <f>Inputs!$B$8</f>
        <v/>
      </c>
      <c r="C8" t="inlineStr">
        <is>
          <t>TAMISEMI -&gt; CMGs</t>
        </is>
      </c>
      <c r="D8" t="inlineStr">
        <is>
          <t>Paid later, not lent</t>
        </is>
      </c>
    </row>
    <row r="9">
      <c r="A9" t="inlineStr">
        <is>
          <t>Advances to lenders (new loans from corpus)</t>
        </is>
      </c>
      <c r="B9" s="24">
        <f>'Monthly cycle'!$Z$8</f>
        <v/>
      </c>
      <c r="C9" t="inlineStr">
        <is>
          <t>TAMISEMI -&gt; Lenders</t>
        </is>
      </c>
      <c r="D9" t="inlineStr">
        <is>
          <t>Sum over the months</t>
        </is>
      </c>
    </row>
    <row r="10">
      <c r="A10" t="inlineStr">
        <is>
          <t>Corpus not lent (returned)</t>
        </is>
      </c>
      <c r="B10" s="24">
        <f>Inputs!$B$9-B9</f>
        <v/>
      </c>
      <c r="C10" t="inlineStr">
        <is>
          <t>Lenders -&gt; TAMISEMI</t>
        </is>
      </c>
      <c r="D10" t="inlineStr">
        <is>
          <t>Unused advance</t>
        </is>
      </c>
    </row>
    <row r="11">
      <c r="A11" t="inlineStr">
        <is>
          <t>Repayments lent out again</t>
        </is>
      </c>
      <c r="B11" s="24">
        <f>'Monthly cycle'!$Z$9</f>
        <v/>
      </c>
      <c r="C11" t="inlineStr">
        <is>
          <t>Lenders -&gt; CMGs</t>
        </is>
      </c>
      <c r="D11" t="inlineStr">
        <is>
          <t>Re-lending</t>
        </is>
      </c>
    </row>
    <row r="12">
      <c r="A12" s="3" t="inlineStr">
        <is>
          <t>Total loans to CMGs</t>
        </is>
      </c>
      <c r="B12" s="8">
        <f>B9+B11</f>
        <v/>
      </c>
      <c r="C12" t="inlineStr">
        <is>
          <t>Lenders -&gt; CMGs</t>
        </is>
      </c>
      <c r="D12" t="inlineStr"/>
    </row>
    <row r="13">
      <c r="A13" s="5" t="inlineStr">
        <is>
          <t>2. MONEY BACK FROM CMGs</t>
        </is>
      </c>
      <c r="B13" s="6" t="n"/>
      <c r="C13" s="6" t="n"/>
      <c r="D13" s="6" t="n"/>
    </row>
    <row r="14">
      <c r="A14" t="inlineStr">
        <is>
          <t>Principal defaulted</t>
        </is>
      </c>
      <c r="B14" s="24">
        <f>B12*Inputs!$B$16</f>
        <v/>
      </c>
      <c r="C14" t="inlineStr"/>
      <c r="D14" t="inlineStr">
        <is>
          <t>Loans x default rate</t>
        </is>
      </c>
    </row>
    <row r="15">
      <c r="A15" t="inlineStr">
        <is>
          <t>Principal repaid by CMGs (gross)</t>
        </is>
      </c>
      <c r="B15" s="24">
        <f>'Monthly cycle'!$Z$12</f>
        <v/>
      </c>
      <c r="C15" t="inlineStr">
        <is>
          <t>CMGs -&gt; Lenders</t>
        </is>
      </c>
      <c r="D15" t="inlineStr">
        <is>
          <t>Loans - defaults</t>
        </is>
      </c>
    </row>
    <row r="16">
      <c r="A16" t="inlineStr">
        <is>
          <t>TAMISEMI's share of repaid principal</t>
        </is>
      </c>
      <c r="B16" s="24">
        <f>'Monthly cycle'!$Z$15</f>
        <v/>
      </c>
      <c r="C16" t="inlineStr">
        <is>
          <t>Lenders -&gt; TAMISEMI</t>
        </is>
      </c>
      <c r="D16" t="inlineStr">
        <is>
          <t>Repaid gross x TAMISEMI share of repaid principal</t>
        </is>
      </c>
    </row>
    <row r="17">
      <c r="A17" t="inlineStr">
        <is>
          <t>Kept by the lender (repaid principal not returned)</t>
        </is>
      </c>
      <c r="B17" s="24">
        <f>B15-B16</f>
        <v/>
      </c>
      <c r="C17" t="inlineStr">
        <is>
          <t>Kept by lenders</t>
        </is>
      </c>
      <c r="D17" t="inlineStr">
        <is>
          <t>Repaid gross x lender share</t>
        </is>
      </c>
    </row>
    <row r="18">
      <c r="A18" t="inlineStr">
        <is>
          <t>Interest collected</t>
        </is>
      </c>
      <c r="B18" s="24">
        <f>'Monthly cycle'!$Z$13</f>
        <v/>
      </c>
      <c r="C18" t="inlineStr">
        <is>
          <t>CMGs -&gt; Lenders</t>
        </is>
      </c>
      <c r="D18" t="inlineStr">
        <is>
          <t>Flat: repaid x rate x term/12</t>
        </is>
      </c>
    </row>
    <row r="19">
      <c r="A19" t="inlineStr">
        <is>
          <t>Total repayments</t>
        </is>
      </c>
      <c r="B19" s="24">
        <f>B15+B18</f>
        <v/>
      </c>
      <c r="C19" t="inlineStr">
        <is>
          <t>CMGs -&gt; Lenders</t>
        </is>
      </c>
      <c r="D19" t="inlineStr"/>
    </row>
    <row r="20">
      <c r="A20" s="5" t="inlineStr">
        <is>
          <t>3. SPLIT OF INTEREST</t>
        </is>
      </c>
      <c r="B20" s="6" t="n"/>
      <c r="C20" s="6" t="n"/>
      <c r="D20" s="6" t="n"/>
    </row>
    <row r="21">
      <c r="A21" t="inlineStr">
        <is>
          <t>Default budget (loss reserve)</t>
        </is>
      </c>
      <c r="B21" s="24">
        <f>B18*Inputs!$B$22</f>
        <v/>
      </c>
      <c r="C21" t="inlineStr">
        <is>
          <t>Lenders -&gt; TAMISEMI</t>
        </is>
      </c>
      <c r="D21" t="inlineStr"/>
    </row>
    <row r="22">
      <c r="A22" t="inlineStr">
        <is>
          <t>TAMISEMI share of interest</t>
        </is>
      </c>
      <c r="B22" s="24">
        <f>B18*Inputs!$B$23</f>
        <v/>
      </c>
      <c r="C22" t="inlineStr">
        <is>
          <t>Lenders -&gt; TAMISEMI</t>
        </is>
      </c>
      <c r="D22" t="inlineStr"/>
    </row>
    <row r="23">
      <c r="A23" t="inlineStr">
        <is>
          <t>Region service fee</t>
        </is>
      </c>
      <c r="B23" s="24">
        <f>B18*Inputs!$B$24</f>
        <v/>
      </c>
      <c r="C23" t="inlineStr">
        <is>
          <t>-&gt; Region</t>
        </is>
      </c>
      <c r="D23" t="inlineStr"/>
    </row>
    <row r="24">
      <c r="A24" t="inlineStr">
        <is>
          <t>LGA service fee</t>
        </is>
      </c>
      <c r="B24" s="24">
        <f>B18*Inputs!$B$25</f>
        <v/>
      </c>
      <c r="C24" t="inlineStr">
        <is>
          <t>-&gt; LGA</t>
        </is>
      </c>
      <c r="D24" t="inlineStr"/>
    </row>
    <row r="25">
      <c r="A25" t="inlineStr">
        <is>
          <t>Lender margin (from interest)</t>
        </is>
      </c>
      <c r="B25" s="24">
        <f>B18*Inputs!$B$26</f>
        <v/>
      </c>
      <c r="C25" t="inlineStr">
        <is>
          <t>Kept by lenders</t>
        </is>
      </c>
      <c r="D25" t="inlineStr">
        <is>
          <t>Remainder</t>
        </is>
      </c>
    </row>
    <row r="26">
      <c r="A26" s="5" t="inlineStr">
        <is>
          <t>4. RISK SHARE OF DEFAULTS</t>
        </is>
      </c>
      <c r="B26" s="6" t="n"/>
      <c r="C26" s="6" t="n"/>
      <c r="D26" s="6" t="n"/>
    </row>
    <row r="27">
      <c r="A27" t="inlineStr">
        <is>
          <t>TAMISEMI's risk share of defaults (absorbed by TAMISEMI)</t>
        </is>
      </c>
      <c r="B27" s="24">
        <f>B14*Inputs!$B$31</f>
        <v/>
      </c>
      <c r="C27" t="inlineStr">
        <is>
          <t>Loss to TAMISEMI</t>
        </is>
      </c>
      <c r="D27" t="inlineStr">
        <is>
          <t>Defaulted principal x TAMISEMI risk share</t>
        </is>
      </c>
    </row>
    <row r="28">
      <c r="A28" t="inlineStr">
        <is>
          <t>Lender's risk share of defaults (the lender's own loss)</t>
        </is>
      </c>
      <c r="B28" s="24">
        <f>B14*Inputs!$B$32</f>
        <v/>
      </c>
      <c r="C28" t="inlineStr">
        <is>
          <t>Loss to lender</t>
        </is>
      </c>
      <c r="D28" t="inlineStr">
        <is>
          <t>Defaulted principal x lender risk share</t>
        </is>
      </c>
    </row>
    <row r="29">
      <c r="A29" t="inlineStr">
        <is>
          <t>Lender's risk-share compensation paid into the fund</t>
        </is>
      </c>
      <c r="B29" s="24">
        <f>'Monthly cycle'!$Z$16</f>
        <v/>
      </c>
      <c r="C29" t="inlineStr">
        <is>
          <t>Lenders -&gt; TAMISEMI</t>
        </is>
      </c>
      <c r="D29" t="inlineStr">
        <is>
          <t>Should equal the lender's risk share above</t>
        </is>
      </c>
    </row>
    <row r="30">
      <c r="A30" s="3" t="inlineStr">
        <is>
          <t>Lender's net result (margin - own risk share - principal kept)</t>
        </is>
      </c>
      <c r="B30" s="8">
        <f>B25-B28+B17</f>
        <v/>
      </c>
      <c r="C30" t="inlineStr"/>
      <c r="D30" t="inlineStr">
        <is>
          <t>Whether lending is worth it for the lender</t>
        </is>
      </c>
    </row>
    <row r="31">
      <c r="A31" s="5" t="inlineStr">
        <is>
          <t>5. CORPUS CHECK (after all loans close)</t>
        </is>
      </c>
      <c r="B31" s="6" t="n"/>
      <c r="C31" s="6" t="n"/>
      <c r="D31" s="6" t="n"/>
    </row>
    <row r="32">
      <c r="A32" t="inlineStr">
        <is>
          <t>Corpus at start</t>
        </is>
      </c>
      <c r="B32" s="24">
        <f>Inputs!$B$9</f>
        <v/>
      </c>
      <c r="C32" t="inlineStr"/>
      <c r="D32" t="inlineStr"/>
    </row>
    <row r="33">
      <c r="A33" t="inlineStr">
        <is>
          <t>Less: TAMISEMI's risk share of defaults</t>
        </is>
      </c>
      <c r="B33" s="24">
        <f>-B27</f>
        <v/>
      </c>
      <c r="C33" t="inlineStr"/>
      <c r="D33" t="inlineStr"/>
    </row>
    <row r="34">
      <c r="A34" t="inlineStr">
        <is>
          <t>Less: repaid principal kept by the lender</t>
        </is>
      </c>
      <c r="B34" s="24">
        <f>-B17</f>
        <v/>
      </c>
      <c r="C34" t="inlineStr"/>
      <c r="D34" t="inlineStr"/>
    </row>
    <row r="35">
      <c r="A35" t="inlineStr">
        <is>
          <t>Plus default budget added back</t>
        </is>
      </c>
      <c r="B35" s="24">
        <f>B21</f>
        <v/>
      </c>
      <c r="C35" t="inlineStr"/>
      <c r="D35" t="inlineStr">
        <is>
          <t>Covers TAMISEMI's risk share of defaults</t>
        </is>
      </c>
    </row>
    <row r="36">
      <c r="A36" s="3" t="inlineStr">
        <is>
          <t>Corpus at end</t>
        </is>
      </c>
      <c r="B36" s="8">
        <f>B32+B33+B34+B35</f>
        <v/>
      </c>
      <c r="C36" t="inlineStr"/>
      <c r="D36" t="inlineStr"/>
    </row>
    <row r="37">
      <c r="A37" t="inlineStr">
        <is>
          <t>Gap (end - start)</t>
        </is>
      </c>
      <c r="B37" s="24">
        <f>B36-B32</f>
        <v/>
      </c>
      <c r="C37" t="inlineStr"/>
      <c r="D37" t="inlineStr">
        <is>
          <t>Negative = corpus NOT restored</t>
        </is>
      </c>
    </row>
    <row r="38">
      <c r="A38" s="3" t="inlineStr">
        <is>
          <t>Result</t>
        </is>
      </c>
      <c r="B38" s="12">
        <f>IF(B37&gt;=-0.5,"Corpus restored","Corpus NOT restored - raise interest share for defaults or rate")</f>
        <v/>
      </c>
      <c r="C38" t="inlineStr"/>
      <c r="D38" t="inlineStr"/>
    </row>
    <row r="39">
      <c r="A39" t="inlineStr">
        <is>
          <t>Default budget needed (% of interest)</t>
        </is>
      </c>
      <c r="B39" s="25">
        <f>IF(B18=0,0,B27/B18)</f>
        <v/>
      </c>
      <c r="C39" t="inlineStr"/>
      <c r="D39" t="inlineStr">
        <is>
          <t>Minimum share of interest to cover TAMISEMI's risk share of defaults</t>
        </is>
      </c>
    </row>
    <row r="40">
      <c r="A40" t="inlineStr">
        <is>
          <t>Break-even default rate</t>
        </is>
      </c>
      <c r="B40" s="25">
        <f>Inputs!$B$22*Inputs!$B$12*Inputs!$B$14/12/(Inputs!$B$31+Inputs!$B$22*Inputs!$B$12*Inputs!$B$14/12)</f>
        <v/>
      </c>
      <c r="C40" t="inlineStr"/>
      <c r="D40" t="inlineStr">
        <is>
          <t>Highest default rate the current split and risk share can cover</t>
        </is>
      </c>
      <c r="F40" s="26" t="inlineStr">
        <is>
          <t>Chart data (auto - do not edit)</t>
        </is>
      </c>
    </row>
    <row r="41">
      <c r="A41" t="inlineStr">
        <is>
          <t>Check: matches month-24 cash on 'Monthly cycle'</t>
        </is>
      </c>
      <c r="B41" s="27">
        <f>IF(ABS(B36-'Monthly cycle'!Y18)&lt;1,"OK","ERROR")</f>
        <v/>
      </c>
      <c r="C41" t="inlineStr"/>
      <c r="D41" t="inlineStr"/>
      <c r="F41" t="inlineStr">
        <is>
          <t>Money not lent (returned to TAMISEMI)</t>
        </is>
      </c>
      <c r="G41" s="17">
        <f>B10</f>
        <v/>
      </c>
    </row>
    <row r="42">
      <c r="A42" s="5" t="inlineStr">
        <is>
          <t>6. YEAR-END TIMING (from 'Monthly cycle')</t>
        </is>
      </c>
      <c r="B42" s="6" t="n"/>
      <c r="C42" s="6" t="n"/>
      <c r="D42" s="6" t="n"/>
      <c r="F42" t="inlineStr">
        <is>
          <t>Principal repaid</t>
        </is>
      </c>
      <c r="G42" s="17">
        <f>B15</f>
        <v/>
      </c>
    </row>
    <row r="43">
      <c r="A43" t="inlineStr">
        <is>
          <t>Cash back in the fund at month 12</t>
        </is>
      </c>
      <c r="B43" s="24">
        <f>'Monthly cycle'!B23</f>
        <v/>
      </c>
      <c r="C43" t="inlineStr"/>
      <c r="D43" t="inlineStr"/>
      <c r="F43" t="inlineStr">
        <is>
          <t>Interest collected</t>
        </is>
      </c>
      <c r="G43" s="17">
        <f>B18</f>
        <v/>
      </c>
    </row>
    <row r="44">
      <c r="A44" t="inlineStr">
        <is>
          <t>Still out on loan at month 12</t>
        </is>
      </c>
      <c r="B44" s="24">
        <f>'Monthly cycle'!B24</f>
        <v/>
      </c>
      <c r="C44" t="inlineStr"/>
      <c r="D44" t="inlineStr">
        <is>
          <t>Comes back in year 2</t>
        </is>
      </c>
    </row>
    <row r="45">
      <c r="A45" t="inlineStr">
        <is>
          <t>First month corpus fully back as cash</t>
        </is>
      </c>
      <c r="B45" s="28">
        <f>'Monthly cycle'!B29</f>
        <v/>
      </c>
      <c r="C45" t="inlineStr"/>
      <c r="D45" t="inlineStr"/>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Monthly cycle (24 months: year 1 lending, year 2 run-off)</t>
        </is>
      </c>
    </row>
    <row r="2">
      <c r="A2" s="2" t="inlineStr">
        <is>
          <t>Enter the % of the allocated amount lent as NEW loans each month (yellow, months 1-12). Repayments are equal monthly instalments over the loan term.</t>
        </is>
      </c>
    </row>
    <row r="4">
      <c r="A4" s="4" t="inlineStr">
        <is>
          <t>Line</t>
        </is>
      </c>
      <c r="B4" s="4" t="inlineStr">
        <is>
          <t>M1</t>
        </is>
      </c>
      <c r="C4" s="4" t="inlineStr">
        <is>
          <t>M2</t>
        </is>
      </c>
      <c r="D4" s="4" t="inlineStr">
        <is>
          <t>M3</t>
        </is>
      </c>
      <c r="E4" s="4" t="inlineStr">
        <is>
          <t>M4</t>
        </is>
      </c>
      <c r="F4" s="4" t="inlineStr">
        <is>
          <t>M5</t>
        </is>
      </c>
      <c r="G4" s="4" t="inlineStr">
        <is>
          <t>M6</t>
        </is>
      </c>
      <c r="H4" s="4" t="inlineStr">
        <is>
          <t>M7</t>
        </is>
      </c>
      <c r="I4" s="4" t="inlineStr">
        <is>
          <t>M8</t>
        </is>
      </c>
      <c r="J4" s="4" t="inlineStr">
        <is>
          <t>M9</t>
        </is>
      </c>
      <c r="K4" s="4" t="inlineStr">
        <is>
          <t>M10</t>
        </is>
      </c>
      <c r="L4" s="4" t="inlineStr">
        <is>
          <t>M11</t>
        </is>
      </c>
      <c r="M4" s="4" t="inlineStr">
        <is>
          <t>M12</t>
        </is>
      </c>
      <c r="N4" s="4" t="inlineStr">
        <is>
          <t>M13</t>
        </is>
      </c>
      <c r="O4" s="4" t="inlineStr">
        <is>
          <t>M14</t>
        </is>
      </c>
      <c r="P4" s="4" t="inlineStr">
        <is>
          <t>M15</t>
        </is>
      </c>
      <c r="Q4" s="4" t="inlineStr">
        <is>
          <t>M16</t>
        </is>
      </c>
      <c r="R4" s="4" t="inlineStr">
        <is>
          <t>M17</t>
        </is>
      </c>
      <c r="S4" s="4" t="inlineStr">
        <is>
          <t>M18</t>
        </is>
      </c>
      <c r="T4" s="4" t="inlineStr">
        <is>
          <t>M19</t>
        </is>
      </c>
      <c r="U4" s="4" t="inlineStr">
        <is>
          <t>M20</t>
        </is>
      </c>
      <c r="V4" s="4" t="inlineStr">
        <is>
          <t>M21</t>
        </is>
      </c>
      <c r="W4" s="4" t="inlineStr">
        <is>
          <t>M22</t>
        </is>
      </c>
      <c r="X4" s="4" t="inlineStr">
        <is>
          <t>M23</t>
        </is>
      </c>
      <c r="Y4" s="4" t="inlineStr">
        <is>
          <t>M24</t>
        </is>
      </c>
      <c r="Z4" s="4" t="inlineStr">
        <is>
          <t>Total</t>
        </is>
      </c>
    </row>
    <row r="5">
      <c r="A5" t="inlineStr">
        <is>
          <t>Month number</t>
        </is>
      </c>
      <c r="B5" s="3" t="n">
        <v>1</v>
      </c>
      <c r="C5" s="3" t="n">
        <v>2</v>
      </c>
      <c r="D5" s="3" t="n">
        <v>3</v>
      </c>
      <c r="E5" s="3" t="n">
        <v>4</v>
      </c>
      <c r="F5" s="3" t="n">
        <v>5</v>
      </c>
      <c r="G5" s="3" t="n">
        <v>6</v>
      </c>
      <c r="H5" s="3" t="n">
        <v>7</v>
      </c>
      <c r="I5" s="3" t="n">
        <v>8</v>
      </c>
      <c r="J5" s="3" t="n">
        <v>9</v>
      </c>
      <c r="K5" s="3" t="n">
        <v>10</v>
      </c>
      <c r="L5" s="3" t="n">
        <v>11</v>
      </c>
      <c r="M5" s="29" t="n">
        <v>12</v>
      </c>
      <c r="N5" s="3" t="n">
        <v>13</v>
      </c>
      <c r="O5" s="3" t="n">
        <v>14</v>
      </c>
      <c r="P5" s="3" t="n">
        <v>15</v>
      </c>
      <c r="Q5" s="3" t="n">
        <v>16</v>
      </c>
      <c r="R5" s="3" t="n">
        <v>17</v>
      </c>
      <c r="S5" s="3" t="n">
        <v>18</v>
      </c>
      <c r="T5" s="3" t="n">
        <v>19</v>
      </c>
      <c r="U5" s="3" t="n">
        <v>20</v>
      </c>
      <c r="V5" s="3" t="n">
        <v>21</v>
      </c>
      <c r="W5" s="3" t="n">
        <v>22</v>
      </c>
      <c r="X5" s="3" t="n">
        <v>23</v>
      </c>
      <c r="Y5" s="3" t="n">
        <v>24</v>
      </c>
    </row>
    <row r="6">
      <c r="A6" t="inlineStr">
        <is>
          <t>Year</t>
        </is>
      </c>
      <c r="B6" t="n">
        <v>1</v>
      </c>
      <c r="C6" t="n">
        <v>1</v>
      </c>
      <c r="D6" t="n">
        <v>1</v>
      </c>
      <c r="E6" t="n">
        <v>1</v>
      </c>
      <c r="F6" t="n">
        <v>1</v>
      </c>
      <c r="G6" t="n">
        <v>1</v>
      </c>
      <c r="H6" t="n">
        <v>1</v>
      </c>
      <c r="I6" t="n">
        <v>1</v>
      </c>
      <c r="J6" t="n">
        <v>1</v>
      </c>
      <c r="K6" t="n">
        <v>1</v>
      </c>
      <c r="L6" t="n">
        <v>1</v>
      </c>
      <c r="M6" s="30" t="n">
        <v>1</v>
      </c>
      <c r="N6" t="n">
        <v>2</v>
      </c>
      <c r="O6" t="n">
        <v>2</v>
      </c>
      <c r="P6" t="n">
        <v>2</v>
      </c>
      <c r="Q6" t="n">
        <v>2</v>
      </c>
      <c r="R6" t="n">
        <v>2</v>
      </c>
      <c r="S6" t="n">
        <v>2</v>
      </c>
      <c r="T6" t="n">
        <v>2</v>
      </c>
      <c r="U6" t="n">
        <v>2</v>
      </c>
      <c r="V6" t="n">
        <v>2</v>
      </c>
      <c r="W6" t="n">
        <v>2</v>
      </c>
      <c r="X6" t="n">
        <v>2</v>
      </c>
      <c r="Y6" t="n">
        <v>2</v>
      </c>
    </row>
    <row r="7">
      <c r="A7" t="inlineStr">
        <is>
          <t>% of allocation lent as NEW loans this month</t>
        </is>
      </c>
      <c r="B7" s="10" t="n">
        <v>0.25</v>
      </c>
      <c r="C7" s="10" t="n">
        <v>0.2</v>
      </c>
      <c r="D7" s="10" t="n">
        <v>0.15</v>
      </c>
      <c r="E7" s="10" t="n">
        <v>0.1</v>
      </c>
      <c r="F7" s="10" t="n">
        <v>0.1</v>
      </c>
      <c r="G7" s="10" t="n">
        <v>0.1</v>
      </c>
      <c r="H7" s="10" t="n">
        <v>0.05</v>
      </c>
      <c r="I7" s="10" t="n">
        <v>0.05</v>
      </c>
      <c r="J7" s="10" t="n">
        <v>0</v>
      </c>
      <c r="K7" s="10" t="n">
        <v>0</v>
      </c>
      <c r="L7" s="10" t="n">
        <v>0</v>
      </c>
      <c r="M7" s="31" t="n">
        <v>0</v>
      </c>
      <c r="N7" s="32" t="n">
        <v>0</v>
      </c>
      <c r="O7" s="32" t="n">
        <v>0</v>
      </c>
      <c r="P7" s="32" t="n">
        <v>0</v>
      </c>
      <c r="Q7" s="32" t="n">
        <v>0</v>
      </c>
      <c r="R7" s="32" t="n">
        <v>0</v>
      </c>
      <c r="S7" s="32" t="n">
        <v>0</v>
      </c>
      <c r="T7" s="32" t="n">
        <v>0</v>
      </c>
      <c r="U7" s="32" t="n">
        <v>0</v>
      </c>
      <c r="V7" s="32" t="n">
        <v>0</v>
      </c>
      <c r="W7" s="32" t="n">
        <v>0</v>
      </c>
      <c r="X7" s="32" t="n">
        <v>0</v>
      </c>
      <c r="Y7" s="32" t="n">
        <v>0</v>
      </c>
      <c r="Z7" s="19">
        <f>SUM(B7:M7)</f>
        <v/>
      </c>
    </row>
    <row r="8">
      <c r="A8" t="inlineStr">
        <is>
          <t>New loans from the corpus</t>
        </is>
      </c>
      <c r="B8" s="17">
        <f>IF(B$5&lt;=Inputs!$B$18,B7*Districts!$I$25,0)</f>
        <v/>
      </c>
      <c r="C8" s="17">
        <f>IF(C$5&lt;=Inputs!$B$18,C7*Districts!$I$25,0)</f>
        <v/>
      </c>
      <c r="D8" s="17">
        <f>IF(D$5&lt;=Inputs!$B$18,D7*Districts!$I$25,0)</f>
        <v/>
      </c>
      <c r="E8" s="17">
        <f>IF(E$5&lt;=Inputs!$B$18,E7*Districts!$I$25,0)</f>
        <v/>
      </c>
      <c r="F8" s="17">
        <f>IF(F$5&lt;=Inputs!$B$18,F7*Districts!$I$25,0)</f>
        <v/>
      </c>
      <c r="G8" s="17">
        <f>IF(G$5&lt;=Inputs!$B$18,G7*Districts!$I$25,0)</f>
        <v/>
      </c>
      <c r="H8" s="17">
        <f>IF(H$5&lt;=Inputs!$B$18,H7*Districts!$I$25,0)</f>
        <v/>
      </c>
      <c r="I8" s="17">
        <f>IF(I$5&lt;=Inputs!$B$18,I7*Districts!$I$25,0)</f>
        <v/>
      </c>
      <c r="J8" s="17">
        <f>IF(J$5&lt;=Inputs!$B$18,J7*Districts!$I$25,0)</f>
        <v/>
      </c>
      <c r="K8" s="17">
        <f>IF(K$5&lt;=Inputs!$B$18,K7*Districts!$I$25,0)</f>
        <v/>
      </c>
      <c r="L8" s="17">
        <f>IF(L$5&lt;=Inputs!$B$18,L7*Districts!$I$25,0)</f>
        <v/>
      </c>
      <c r="M8" s="33">
        <f>IF(M$5&lt;=Inputs!$B$18,M7*Districts!$I$25,0)</f>
        <v/>
      </c>
      <c r="N8" s="17">
        <f>IF(N$5&lt;=Inputs!$B$18,N7*Districts!$I$25,0)</f>
        <v/>
      </c>
      <c r="O8" s="17">
        <f>IF(O$5&lt;=Inputs!$B$18,O7*Districts!$I$25,0)</f>
        <v/>
      </c>
      <c r="P8" s="17">
        <f>IF(P$5&lt;=Inputs!$B$18,P7*Districts!$I$25,0)</f>
        <v/>
      </c>
      <c r="Q8" s="17">
        <f>IF(Q$5&lt;=Inputs!$B$18,Q7*Districts!$I$25,0)</f>
        <v/>
      </c>
      <c r="R8" s="17">
        <f>IF(R$5&lt;=Inputs!$B$18,R7*Districts!$I$25,0)</f>
        <v/>
      </c>
      <c r="S8" s="17">
        <f>IF(S$5&lt;=Inputs!$B$18,S7*Districts!$I$25,0)</f>
        <v/>
      </c>
      <c r="T8" s="17">
        <f>IF(T$5&lt;=Inputs!$B$18,T7*Districts!$I$25,0)</f>
        <v/>
      </c>
      <c r="U8" s="17">
        <f>IF(U$5&lt;=Inputs!$B$18,U7*Districts!$I$25,0)</f>
        <v/>
      </c>
      <c r="V8" s="17">
        <f>IF(V$5&lt;=Inputs!$B$18,V7*Districts!$I$25,0)</f>
        <v/>
      </c>
      <c r="W8" s="17">
        <f>IF(W$5&lt;=Inputs!$B$18,W7*Districts!$I$25,0)</f>
        <v/>
      </c>
      <c r="X8" s="17">
        <f>IF(X$5&lt;=Inputs!$B$18,X7*Districts!$I$25,0)</f>
        <v/>
      </c>
      <c r="Y8" s="17">
        <f>IF(Y$5&lt;=Inputs!$B$18,Y7*Districts!$I$25,0)</f>
        <v/>
      </c>
      <c r="Z8" s="21">
        <f>SUM(B8:Y8)</f>
        <v/>
      </c>
    </row>
    <row r="9">
      <c r="A9" t="inlineStr">
        <is>
          <t>Re-lent repayments</t>
        </is>
      </c>
      <c r="B9" s="17">
        <f>0</f>
        <v/>
      </c>
      <c r="C9" s="17">
        <f>IF(C$5&lt;=Inputs!$B$18,B12*Inputs!$B$19,0)</f>
        <v/>
      </c>
      <c r="D9" s="17">
        <f>IF(D$5&lt;=Inputs!$B$18,C12*Inputs!$B$19,0)</f>
        <v/>
      </c>
      <c r="E9" s="17">
        <f>IF(E$5&lt;=Inputs!$B$18,D12*Inputs!$B$19,0)</f>
        <v/>
      </c>
      <c r="F9" s="17">
        <f>IF(F$5&lt;=Inputs!$B$18,E12*Inputs!$B$19,0)</f>
        <v/>
      </c>
      <c r="G9" s="17">
        <f>IF(G$5&lt;=Inputs!$B$18,F12*Inputs!$B$19,0)</f>
        <v/>
      </c>
      <c r="H9" s="17">
        <f>IF(H$5&lt;=Inputs!$B$18,G12*Inputs!$B$19,0)</f>
        <v/>
      </c>
      <c r="I9" s="17">
        <f>IF(I$5&lt;=Inputs!$B$18,H12*Inputs!$B$19,0)</f>
        <v/>
      </c>
      <c r="J9" s="17">
        <f>IF(J$5&lt;=Inputs!$B$18,I12*Inputs!$B$19,0)</f>
        <v/>
      </c>
      <c r="K9" s="17">
        <f>IF(K$5&lt;=Inputs!$B$18,J12*Inputs!$B$19,0)</f>
        <v/>
      </c>
      <c r="L9" s="17">
        <f>IF(L$5&lt;=Inputs!$B$18,K12*Inputs!$B$19,0)</f>
        <v/>
      </c>
      <c r="M9" s="33">
        <f>IF(M$5&lt;=Inputs!$B$18,L12*Inputs!$B$19,0)</f>
        <v/>
      </c>
      <c r="N9" s="17">
        <f>IF(N$5&lt;=Inputs!$B$18,M12*Inputs!$B$19,0)</f>
        <v/>
      </c>
      <c r="O9" s="17">
        <f>IF(O$5&lt;=Inputs!$B$18,N12*Inputs!$B$19,0)</f>
        <v/>
      </c>
      <c r="P9" s="17">
        <f>IF(P$5&lt;=Inputs!$B$18,O12*Inputs!$B$19,0)</f>
        <v/>
      </c>
      <c r="Q9" s="17">
        <f>IF(Q$5&lt;=Inputs!$B$18,P12*Inputs!$B$19,0)</f>
        <v/>
      </c>
      <c r="R9" s="17">
        <f>IF(R$5&lt;=Inputs!$B$18,Q12*Inputs!$B$19,0)</f>
        <v/>
      </c>
      <c r="S9" s="17">
        <f>IF(S$5&lt;=Inputs!$B$18,R12*Inputs!$B$19,0)</f>
        <v/>
      </c>
      <c r="T9" s="17">
        <f>IF(T$5&lt;=Inputs!$B$18,S12*Inputs!$B$19,0)</f>
        <v/>
      </c>
      <c r="U9" s="17">
        <f>IF(U$5&lt;=Inputs!$B$18,T12*Inputs!$B$19,0)</f>
        <v/>
      </c>
      <c r="V9" s="17">
        <f>IF(V$5&lt;=Inputs!$B$18,U12*Inputs!$B$19,0)</f>
        <v/>
      </c>
      <c r="W9" s="17">
        <f>IF(W$5&lt;=Inputs!$B$18,V12*Inputs!$B$19,0)</f>
        <v/>
      </c>
      <c r="X9" s="17">
        <f>IF(X$5&lt;=Inputs!$B$18,W12*Inputs!$B$19,0)</f>
        <v/>
      </c>
      <c r="Y9" s="17">
        <f>IF(Y$5&lt;=Inputs!$B$18,X12*Inputs!$B$19,0)</f>
        <v/>
      </c>
      <c r="Z9" s="21">
        <f>SUM(B9:Y9)</f>
        <v/>
      </c>
    </row>
    <row r="10">
      <c r="A10" s="3" t="inlineStr">
        <is>
          <t>Total loans made this month</t>
        </is>
      </c>
      <c r="B10" s="17">
        <f>B8+B9</f>
        <v/>
      </c>
      <c r="C10" s="17">
        <f>C8+C9</f>
        <v/>
      </c>
      <c r="D10" s="17">
        <f>D8+D9</f>
        <v/>
      </c>
      <c r="E10" s="17">
        <f>E8+E9</f>
        <v/>
      </c>
      <c r="F10" s="17">
        <f>F8+F9</f>
        <v/>
      </c>
      <c r="G10" s="17">
        <f>G8+G9</f>
        <v/>
      </c>
      <c r="H10" s="17">
        <f>H8+H9</f>
        <v/>
      </c>
      <c r="I10" s="17">
        <f>I8+I9</f>
        <v/>
      </c>
      <c r="J10" s="17">
        <f>J8+J9</f>
        <v/>
      </c>
      <c r="K10" s="17">
        <f>K8+K9</f>
        <v/>
      </c>
      <c r="L10" s="17">
        <f>L8+L9</f>
        <v/>
      </c>
      <c r="M10" s="33">
        <f>M8+M9</f>
        <v/>
      </c>
      <c r="N10" s="17">
        <f>N8+N9</f>
        <v/>
      </c>
      <c r="O10" s="17">
        <f>O8+O9</f>
        <v/>
      </c>
      <c r="P10" s="17">
        <f>P8+P9</f>
        <v/>
      </c>
      <c r="Q10" s="17">
        <f>Q8+Q9</f>
        <v/>
      </c>
      <c r="R10" s="17">
        <f>R8+R9</f>
        <v/>
      </c>
      <c r="S10" s="17">
        <f>S8+S9</f>
        <v/>
      </c>
      <c r="T10" s="17">
        <f>T8+T9</f>
        <v/>
      </c>
      <c r="U10" s="17">
        <f>U8+U9</f>
        <v/>
      </c>
      <c r="V10" s="17">
        <f>V8+V9</f>
        <v/>
      </c>
      <c r="W10" s="17">
        <f>W8+W9</f>
        <v/>
      </c>
      <c r="X10" s="17">
        <f>X8+X9</f>
        <v/>
      </c>
      <c r="Y10" s="17">
        <f>Y8+Y9</f>
        <v/>
      </c>
      <c r="Z10" s="21">
        <f>SUM(B10:Y10)</f>
        <v/>
      </c>
    </row>
    <row r="11">
      <c r="A11" t="inlineStr">
        <is>
          <t>Principal due</t>
        </is>
      </c>
      <c r="B11" s="17">
        <f>0</f>
        <v/>
      </c>
      <c r="C11" s="17">
        <f>SUMIFS($B10:B10,$B$5:B$5,"&gt;="&amp;(C$5-Inputs!$B$14))/Inputs!$B$14</f>
        <v/>
      </c>
      <c r="D11" s="17">
        <f>SUMIFS($B10:C10,$B$5:C$5,"&gt;="&amp;(D$5-Inputs!$B$14))/Inputs!$B$14</f>
        <v/>
      </c>
      <c r="E11" s="17">
        <f>SUMIFS($B10:D10,$B$5:D$5,"&gt;="&amp;(E$5-Inputs!$B$14))/Inputs!$B$14</f>
        <v/>
      </c>
      <c r="F11" s="17">
        <f>SUMIFS($B10:E10,$B$5:E$5,"&gt;="&amp;(F$5-Inputs!$B$14))/Inputs!$B$14</f>
        <v/>
      </c>
      <c r="G11" s="17">
        <f>SUMIFS($B10:F10,$B$5:F$5,"&gt;="&amp;(G$5-Inputs!$B$14))/Inputs!$B$14</f>
        <v/>
      </c>
      <c r="H11" s="17">
        <f>SUMIFS($B10:G10,$B$5:G$5,"&gt;="&amp;(H$5-Inputs!$B$14))/Inputs!$B$14</f>
        <v/>
      </c>
      <c r="I11" s="17">
        <f>SUMIFS($B10:H10,$B$5:H$5,"&gt;="&amp;(I$5-Inputs!$B$14))/Inputs!$B$14</f>
        <v/>
      </c>
      <c r="J11" s="17">
        <f>SUMIFS($B10:I10,$B$5:I$5,"&gt;="&amp;(J$5-Inputs!$B$14))/Inputs!$B$14</f>
        <v/>
      </c>
      <c r="K11" s="17">
        <f>SUMIFS($B10:J10,$B$5:J$5,"&gt;="&amp;(K$5-Inputs!$B$14))/Inputs!$B$14</f>
        <v/>
      </c>
      <c r="L11" s="17">
        <f>SUMIFS($B10:K10,$B$5:K$5,"&gt;="&amp;(L$5-Inputs!$B$14))/Inputs!$B$14</f>
        <v/>
      </c>
      <c r="M11" s="33">
        <f>SUMIFS($B10:L10,$B$5:L$5,"&gt;="&amp;(M$5-Inputs!$B$14))/Inputs!$B$14</f>
        <v/>
      </c>
      <c r="N11" s="17">
        <f>SUMIFS($B10:M10,$B$5:M$5,"&gt;="&amp;(N$5-Inputs!$B$14))/Inputs!$B$14</f>
        <v/>
      </c>
      <c r="O11" s="17">
        <f>SUMIFS($B10:N10,$B$5:N$5,"&gt;="&amp;(O$5-Inputs!$B$14))/Inputs!$B$14</f>
        <v/>
      </c>
      <c r="P11" s="17">
        <f>SUMIFS($B10:O10,$B$5:O$5,"&gt;="&amp;(P$5-Inputs!$B$14))/Inputs!$B$14</f>
        <v/>
      </c>
      <c r="Q11" s="17">
        <f>SUMIFS($B10:P10,$B$5:P$5,"&gt;="&amp;(Q$5-Inputs!$B$14))/Inputs!$B$14</f>
        <v/>
      </c>
      <c r="R11" s="17">
        <f>SUMIFS($B10:Q10,$B$5:Q$5,"&gt;="&amp;(R$5-Inputs!$B$14))/Inputs!$B$14</f>
        <v/>
      </c>
      <c r="S11" s="17">
        <f>SUMIFS($B10:R10,$B$5:R$5,"&gt;="&amp;(S$5-Inputs!$B$14))/Inputs!$B$14</f>
        <v/>
      </c>
      <c r="T11" s="17">
        <f>SUMIFS($B10:S10,$B$5:S$5,"&gt;="&amp;(T$5-Inputs!$B$14))/Inputs!$B$14</f>
        <v/>
      </c>
      <c r="U11" s="17">
        <f>SUMIFS($B10:T10,$B$5:T$5,"&gt;="&amp;(U$5-Inputs!$B$14))/Inputs!$B$14</f>
        <v/>
      </c>
      <c r="V11" s="17">
        <f>SUMIFS($B10:U10,$B$5:U$5,"&gt;="&amp;(V$5-Inputs!$B$14))/Inputs!$B$14</f>
        <v/>
      </c>
      <c r="W11" s="17">
        <f>SUMIFS($B10:V10,$B$5:V$5,"&gt;="&amp;(W$5-Inputs!$B$14))/Inputs!$B$14</f>
        <v/>
      </c>
      <c r="X11" s="17">
        <f>SUMIFS($B10:W10,$B$5:W$5,"&gt;="&amp;(X$5-Inputs!$B$14))/Inputs!$B$14</f>
        <v/>
      </c>
      <c r="Y11" s="17">
        <f>SUMIFS($B10:X10,$B$5:X$5,"&gt;="&amp;(Y$5-Inputs!$B$14))/Inputs!$B$14</f>
        <v/>
      </c>
      <c r="Z11" s="21">
        <f>SUM(B11:Y11)</f>
        <v/>
      </c>
    </row>
    <row r="12">
      <c r="A12" t="inlineStr">
        <is>
          <t>Principal repaid by CMGs (gross, after defaults)</t>
        </is>
      </c>
      <c r="B12" s="17">
        <f>B11*(1-Inputs!$B$16)</f>
        <v/>
      </c>
      <c r="C12" s="17">
        <f>C11*(1-Inputs!$B$16)</f>
        <v/>
      </c>
      <c r="D12" s="17">
        <f>D11*(1-Inputs!$B$16)</f>
        <v/>
      </c>
      <c r="E12" s="17">
        <f>E11*(1-Inputs!$B$16)</f>
        <v/>
      </c>
      <c r="F12" s="17">
        <f>F11*(1-Inputs!$B$16)</f>
        <v/>
      </c>
      <c r="G12" s="17">
        <f>G11*(1-Inputs!$B$16)</f>
        <v/>
      </c>
      <c r="H12" s="17">
        <f>H11*(1-Inputs!$B$16)</f>
        <v/>
      </c>
      <c r="I12" s="17">
        <f>I11*(1-Inputs!$B$16)</f>
        <v/>
      </c>
      <c r="J12" s="17">
        <f>J11*(1-Inputs!$B$16)</f>
        <v/>
      </c>
      <c r="K12" s="17">
        <f>K11*(1-Inputs!$B$16)</f>
        <v/>
      </c>
      <c r="L12" s="17">
        <f>L11*(1-Inputs!$B$16)</f>
        <v/>
      </c>
      <c r="M12" s="33">
        <f>M11*(1-Inputs!$B$16)</f>
        <v/>
      </c>
      <c r="N12" s="17">
        <f>N11*(1-Inputs!$B$16)</f>
        <v/>
      </c>
      <c r="O12" s="17">
        <f>O11*(1-Inputs!$B$16)</f>
        <v/>
      </c>
      <c r="P12" s="17">
        <f>P11*(1-Inputs!$B$16)</f>
        <v/>
      </c>
      <c r="Q12" s="17">
        <f>Q11*(1-Inputs!$B$16)</f>
        <v/>
      </c>
      <c r="R12" s="17">
        <f>R11*(1-Inputs!$B$16)</f>
        <v/>
      </c>
      <c r="S12" s="17">
        <f>S11*(1-Inputs!$B$16)</f>
        <v/>
      </c>
      <c r="T12" s="17">
        <f>T11*(1-Inputs!$B$16)</f>
        <v/>
      </c>
      <c r="U12" s="17">
        <f>U11*(1-Inputs!$B$16)</f>
        <v/>
      </c>
      <c r="V12" s="17">
        <f>V11*(1-Inputs!$B$16)</f>
        <v/>
      </c>
      <c r="W12" s="17">
        <f>W11*(1-Inputs!$B$16)</f>
        <v/>
      </c>
      <c r="X12" s="17">
        <f>X11*(1-Inputs!$B$16)</f>
        <v/>
      </c>
      <c r="Y12" s="17">
        <f>Y11*(1-Inputs!$B$16)</f>
        <v/>
      </c>
      <c r="Z12" s="21">
        <f>SUM(B12:Y12)</f>
        <v/>
      </c>
    </row>
    <row r="13">
      <c r="A13" t="inlineStr">
        <is>
          <t>Interest collected</t>
        </is>
      </c>
      <c r="B13" s="17">
        <f>B12*Inputs!$B$12/12*Inputs!$B$14</f>
        <v/>
      </c>
      <c r="C13" s="17">
        <f>C12*Inputs!$B$12/12*Inputs!$B$14</f>
        <v/>
      </c>
      <c r="D13" s="17">
        <f>D12*Inputs!$B$12/12*Inputs!$B$14</f>
        <v/>
      </c>
      <c r="E13" s="17">
        <f>E12*Inputs!$B$12/12*Inputs!$B$14</f>
        <v/>
      </c>
      <c r="F13" s="17">
        <f>F12*Inputs!$B$12/12*Inputs!$B$14</f>
        <v/>
      </c>
      <c r="G13" s="17">
        <f>G12*Inputs!$B$12/12*Inputs!$B$14</f>
        <v/>
      </c>
      <c r="H13" s="17">
        <f>H12*Inputs!$B$12/12*Inputs!$B$14</f>
        <v/>
      </c>
      <c r="I13" s="17">
        <f>I12*Inputs!$B$12/12*Inputs!$B$14</f>
        <v/>
      </c>
      <c r="J13" s="17">
        <f>J12*Inputs!$B$12/12*Inputs!$B$14</f>
        <v/>
      </c>
      <c r="K13" s="17">
        <f>K12*Inputs!$B$12/12*Inputs!$B$14</f>
        <v/>
      </c>
      <c r="L13" s="17">
        <f>L12*Inputs!$B$12/12*Inputs!$B$14</f>
        <v/>
      </c>
      <c r="M13" s="33">
        <f>M12*Inputs!$B$12/12*Inputs!$B$14</f>
        <v/>
      </c>
      <c r="N13" s="17">
        <f>N12*Inputs!$B$12/12*Inputs!$B$14</f>
        <v/>
      </c>
      <c r="O13" s="17">
        <f>O12*Inputs!$B$12/12*Inputs!$B$14</f>
        <v/>
      </c>
      <c r="P13" s="17">
        <f>P12*Inputs!$B$12/12*Inputs!$B$14</f>
        <v/>
      </c>
      <c r="Q13" s="17">
        <f>Q12*Inputs!$B$12/12*Inputs!$B$14</f>
        <v/>
      </c>
      <c r="R13" s="17">
        <f>R12*Inputs!$B$12/12*Inputs!$B$14</f>
        <v/>
      </c>
      <c r="S13" s="17">
        <f>S12*Inputs!$B$12/12*Inputs!$B$14</f>
        <v/>
      </c>
      <c r="T13" s="17">
        <f>T12*Inputs!$B$12/12*Inputs!$B$14</f>
        <v/>
      </c>
      <c r="U13" s="17">
        <f>U12*Inputs!$B$12/12*Inputs!$B$14</f>
        <v/>
      </c>
      <c r="V13" s="17">
        <f>V12*Inputs!$B$12/12*Inputs!$B$14</f>
        <v/>
      </c>
      <c r="W13" s="17">
        <f>W12*Inputs!$B$12/12*Inputs!$B$14</f>
        <v/>
      </c>
      <c r="X13" s="17">
        <f>X12*Inputs!$B$12/12*Inputs!$B$14</f>
        <v/>
      </c>
      <c r="Y13" s="17">
        <f>Y12*Inputs!$B$12/12*Inputs!$B$14</f>
        <v/>
      </c>
      <c r="Z13" s="21">
        <f>SUM(B13:Y13)</f>
        <v/>
      </c>
    </row>
    <row r="14">
      <c r="A14" t="inlineStr">
        <is>
          <t>Default budget returned to fund</t>
        </is>
      </c>
      <c r="B14" s="17">
        <f>B13*Inputs!$B$22</f>
        <v/>
      </c>
      <c r="C14" s="17">
        <f>C13*Inputs!$B$22</f>
        <v/>
      </c>
      <c r="D14" s="17">
        <f>D13*Inputs!$B$22</f>
        <v/>
      </c>
      <c r="E14" s="17">
        <f>E13*Inputs!$B$22</f>
        <v/>
      </c>
      <c r="F14" s="17">
        <f>F13*Inputs!$B$22</f>
        <v/>
      </c>
      <c r="G14" s="17">
        <f>G13*Inputs!$B$22</f>
        <v/>
      </c>
      <c r="H14" s="17">
        <f>H13*Inputs!$B$22</f>
        <v/>
      </c>
      <c r="I14" s="17">
        <f>I13*Inputs!$B$22</f>
        <v/>
      </c>
      <c r="J14" s="17">
        <f>J13*Inputs!$B$22</f>
        <v/>
      </c>
      <c r="K14" s="17">
        <f>K13*Inputs!$B$22</f>
        <v/>
      </c>
      <c r="L14" s="17">
        <f>L13*Inputs!$B$22</f>
        <v/>
      </c>
      <c r="M14" s="33">
        <f>M13*Inputs!$B$22</f>
        <v/>
      </c>
      <c r="N14" s="17">
        <f>N13*Inputs!$B$22</f>
        <v/>
      </c>
      <c r="O14" s="17">
        <f>O13*Inputs!$B$22</f>
        <v/>
      </c>
      <c r="P14" s="17">
        <f>P13*Inputs!$B$22</f>
        <v/>
      </c>
      <c r="Q14" s="17">
        <f>Q13*Inputs!$B$22</f>
        <v/>
      </c>
      <c r="R14" s="17">
        <f>R13*Inputs!$B$22</f>
        <v/>
      </c>
      <c r="S14" s="17">
        <f>S13*Inputs!$B$22</f>
        <v/>
      </c>
      <c r="T14" s="17">
        <f>T13*Inputs!$B$22</f>
        <v/>
      </c>
      <c r="U14" s="17">
        <f>U13*Inputs!$B$22</f>
        <v/>
      </c>
      <c r="V14" s="17">
        <f>V13*Inputs!$B$22</f>
        <v/>
      </c>
      <c r="W14" s="17">
        <f>W13*Inputs!$B$22</f>
        <v/>
      </c>
      <c r="X14" s="17">
        <f>X13*Inputs!$B$22</f>
        <v/>
      </c>
      <c r="Y14" s="17">
        <f>Y13*Inputs!$B$22</f>
        <v/>
      </c>
      <c r="Z14" s="21">
        <f>SUM(B14:Y14)</f>
        <v/>
      </c>
    </row>
    <row r="15">
      <c r="A15" t="inlineStr">
        <is>
          <t>TAMISEMI's share of repaid principal (to fund cash)</t>
        </is>
      </c>
      <c r="B15" s="17">
        <f>B12*Inputs!$B$29</f>
        <v/>
      </c>
      <c r="C15" s="17">
        <f>C12*Inputs!$B$29</f>
        <v/>
      </c>
      <c r="D15" s="17">
        <f>D12*Inputs!$B$29</f>
        <v/>
      </c>
      <c r="E15" s="17">
        <f>E12*Inputs!$B$29</f>
        <v/>
      </c>
      <c r="F15" s="17">
        <f>F12*Inputs!$B$29</f>
        <v/>
      </c>
      <c r="G15" s="17">
        <f>G12*Inputs!$B$29</f>
        <v/>
      </c>
      <c r="H15" s="17">
        <f>H12*Inputs!$B$29</f>
        <v/>
      </c>
      <c r="I15" s="17">
        <f>I12*Inputs!$B$29</f>
        <v/>
      </c>
      <c r="J15" s="17">
        <f>J12*Inputs!$B$29</f>
        <v/>
      </c>
      <c r="K15" s="17">
        <f>K12*Inputs!$B$29</f>
        <v/>
      </c>
      <c r="L15" s="17">
        <f>L12*Inputs!$B$29</f>
        <v/>
      </c>
      <c r="M15" s="33">
        <f>M12*Inputs!$B$29</f>
        <v/>
      </c>
      <c r="N15" s="17">
        <f>N12*Inputs!$B$29</f>
        <v/>
      </c>
      <c r="O15" s="17">
        <f>O12*Inputs!$B$29</f>
        <v/>
      </c>
      <c r="P15" s="17">
        <f>P12*Inputs!$B$29</f>
        <v/>
      </c>
      <c r="Q15" s="17">
        <f>Q12*Inputs!$B$29</f>
        <v/>
      </c>
      <c r="R15" s="17">
        <f>R12*Inputs!$B$29</f>
        <v/>
      </c>
      <c r="S15" s="17">
        <f>S12*Inputs!$B$29</f>
        <v/>
      </c>
      <c r="T15" s="17">
        <f>T12*Inputs!$B$29</f>
        <v/>
      </c>
      <c r="U15" s="17">
        <f>U12*Inputs!$B$29</f>
        <v/>
      </c>
      <c r="V15" s="17">
        <f>V12*Inputs!$B$29</f>
        <v/>
      </c>
      <c r="W15" s="17">
        <f>W12*Inputs!$B$29</f>
        <v/>
      </c>
      <c r="X15" s="17">
        <f>X12*Inputs!$B$29</f>
        <v/>
      </c>
      <c r="Y15" s="17">
        <f>Y12*Inputs!$B$29</f>
        <v/>
      </c>
      <c r="Z15" s="21">
        <f>SUM(B15:Y15)</f>
        <v/>
      </c>
    </row>
    <row r="16">
      <c r="A16" t="inlineStr">
        <is>
          <t>Lender's risk-share compensation for defaults (to fund cash)</t>
        </is>
      </c>
      <c r="B16" s="17">
        <f>(B11-B12)*Inputs!$B$32</f>
        <v/>
      </c>
      <c r="C16" s="17">
        <f>(C11-C12)*Inputs!$B$32</f>
        <v/>
      </c>
      <c r="D16" s="17">
        <f>(D11-D12)*Inputs!$B$32</f>
        <v/>
      </c>
      <c r="E16" s="17">
        <f>(E11-E12)*Inputs!$B$32</f>
        <v/>
      </c>
      <c r="F16" s="17">
        <f>(F11-F12)*Inputs!$B$32</f>
        <v/>
      </c>
      <c r="G16" s="17">
        <f>(G11-G12)*Inputs!$B$32</f>
        <v/>
      </c>
      <c r="H16" s="17">
        <f>(H11-H12)*Inputs!$B$32</f>
        <v/>
      </c>
      <c r="I16" s="17">
        <f>(I11-I12)*Inputs!$B$32</f>
        <v/>
      </c>
      <c r="J16" s="17">
        <f>(J11-J12)*Inputs!$B$32</f>
        <v/>
      </c>
      <c r="K16" s="17">
        <f>(K11-K12)*Inputs!$B$32</f>
        <v/>
      </c>
      <c r="L16" s="17">
        <f>(L11-L12)*Inputs!$B$32</f>
        <v/>
      </c>
      <c r="M16" s="33">
        <f>(M11-M12)*Inputs!$B$32</f>
        <v/>
      </c>
      <c r="N16" s="17">
        <f>(N11-N12)*Inputs!$B$32</f>
        <v/>
      </c>
      <c r="O16" s="17">
        <f>(O11-O12)*Inputs!$B$32</f>
        <v/>
      </c>
      <c r="P16" s="17">
        <f>(P11-P12)*Inputs!$B$32</f>
        <v/>
      </c>
      <c r="Q16" s="17">
        <f>(Q11-Q12)*Inputs!$B$32</f>
        <v/>
      </c>
      <c r="R16" s="17">
        <f>(R11-R12)*Inputs!$B$32</f>
        <v/>
      </c>
      <c r="S16" s="17">
        <f>(S11-S12)*Inputs!$B$32</f>
        <v/>
      </c>
      <c r="T16" s="17">
        <f>(T11-T12)*Inputs!$B$32</f>
        <v/>
      </c>
      <c r="U16" s="17">
        <f>(U11-U12)*Inputs!$B$32</f>
        <v/>
      </c>
      <c r="V16" s="17">
        <f>(V11-V12)*Inputs!$B$32</f>
        <v/>
      </c>
      <c r="W16" s="17">
        <f>(W11-W12)*Inputs!$B$32</f>
        <v/>
      </c>
      <c r="X16" s="17">
        <f>(X11-X12)*Inputs!$B$32</f>
        <v/>
      </c>
      <c r="Y16" s="17">
        <f>(Y11-Y12)*Inputs!$B$32</f>
        <v/>
      </c>
      <c r="Z16" s="21">
        <f>SUM(B16:Y16)</f>
        <v/>
      </c>
    </row>
    <row r="17">
      <c r="A17" s="3" t="inlineStr">
        <is>
          <t>Loans outstanding (end of month)</t>
        </is>
      </c>
      <c r="B17" s="17">
        <f>0+B10-B11</f>
        <v/>
      </c>
      <c r="C17" s="17">
        <f>B17+C10-C11</f>
        <v/>
      </c>
      <c r="D17" s="17">
        <f>C17+D10-D11</f>
        <v/>
      </c>
      <c r="E17" s="17">
        <f>D17+E10-E11</f>
        <v/>
      </c>
      <c r="F17" s="17">
        <f>E17+F10-F11</f>
        <v/>
      </c>
      <c r="G17" s="17">
        <f>F17+G10-G11</f>
        <v/>
      </c>
      <c r="H17" s="17">
        <f>G17+H10-H11</f>
        <v/>
      </c>
      <c r="I17" s="17">
        <f>H17+I10-I11</f>
        <v/>
      </c>
      <c r="J17" s="17">
        <f>I17+J10-J11</f>
        <v/>
      </c>
      <c r="K17" s="17">
        <f>J17+K10-K11</f>
        <v/>
      </c>
      <c r="L17" s="17">
        <f>K17+L10-L11</f>
        <v/>
      </c>
      <c r="M17" s="33">
        <f>L17+M10-M11</f>
        <v/>
      </c>
      <c r="N17" s="17">
        <f>M17+N10-N11</f>
        <v/>
      </c>
      <c r="O17" s="17">
        <f>N17+O10-O11</f>
        <v/>
      </c>
      <c r="P17" s="17">
        <f>O17+P10-P11</f>
        <v/>
      </c>
      <c r="Q17" s="17">
        <f>P17+Q10-Q11</f>
        <v/>
      </c>
      <c r="R17" s="17">
        <f>Q17+R10-R11</f>
        <v/>
      </c>
      <c r="S17" s="17">
        <f>R17+S10-S11</f>
        <v/>
      </c>
      <c r="T17" s="17">
        <f>S17+T10-T11</f>
        <v/>
      </c>
      <c r="U17" s="17">
        <f>T17+U10-U11</f>
        <v/>
      </c>
      <c r="V17" s="17">
        <f>U17+V10-V11</f>
        <v/>
      </c>
      <c r="W17" s="17">
        <f>V17+W10-W11</f>
        <v/>
      </c>
      <c r="X17" s="17">
        <f>W17+X10-X11</f>
        <v/>
      </c>
      <c r="Y17" s="17">
        <f>X17+Y10-Y11</f>
        <v/>
      </c>
    </row>
    <row r="18">
      <c r="A18" s="3" t="inlineStr">
        <is>
          <t>Fund cash on hand (end of month)</t>
        </is>
      </c>
      <c r="B18" s="17">
        <f>Inputs!$B$9-B10+B15+B16+B14</f>
        <v/>
      </c>
      <c r="C18" s="17">
        <f>B18-C10+C15+C16+C14</f>
        <v/>
      </c>
      <c r="D18" s="17">
        <f>C18-D10+D15+D16+D14</f>
        <v/>
      </c>
      <c r="E18" s="17">
        <f>D18-E10+E15+E16+E14</f>
        <v/>
      </c>
      <c r="F18" s="17">
        <f>E18-F10+F15+F16+F14</f>
        <v/>
      </c>
      <c r="G18" s="17">
        <f>F18-G10+G15+G16+G14</f>
        <v/>
      </c>
      <c r="H18" s="17">
        <f>G18-H10+H15+H16+H14</f>
        <v/>
      </c>
      <c r="I18" s="17">
        <f>H18-I10+I15+I16+I14</f>
        <v/>
      </c>
      <c r="J18" s="17">
        <f>I18-J10+J15+J16+J14</f>
        <v/>
      </c>
      <c r="K18" s="17">
        <f>J18-K10+K15+K16+K14</f>
        <v/>
      </c>
      <c r="L18" s="17">
        <f>K18-L10+L15+L16+L14</f>
        <v/>
      </c>
      <c r="M18" s="33">
        <f>L18-M10+M15+M16+M14</f>
        <v/>
      </c>
      <c r="N18" s="17">
        <f>M18-N10+N15+N16+N14</f>
        <v/>
      </c>
      <c r="O18" s="17">
        <f>N18-O10+O15+O16+O14</f>
        <v/>
      </c>
      <c r="P18" s="17">
        <f>O18-P10+P15+P16+P14</f>
        <v/>
      </c>
      <c r="Q18" s="17">
        <f>P18-Q10+Q15+Q16+Q14</f>
        <v/>
      </c>
      <c r="R18" s="17">
        <f>Q18-R10+R15+R16+R14</f>
        <v/>
      </c>
      <c r="S18" s="17">
        <f>R18-S10+S15+S16+S14</f>
        <v/>
      </c>
      <c r="T18" s="17">
        <f>S18-T10+T15+T16+T14</f>
        <v/>
      </c>
      <c r="U18" s="17">
        <f>T18-U10+U15+U16+U14</f>
        <v/>
      </c>
      <c r="V18" s="17">
        <f>U18-V10+V15+V16+V14</f>
        <v/>
      </c>
      <c r="W18" s="17">
        <f>V18-W10+W15+W16+W14</f>
        <v/>
      </c>
      <c r="X18" s="17">
        <f>W18-X10+X15+X16+X14</f>
        <v/>
      </c>
      <c r="Y18" s="17">
        <f>X18-Y10+Y15+Y16+Y14</f>
        <v/>
      </c>
    </row>
    <row r="19">
      <c r="A19" t="inlineStr">
        <is>
          <t>Cash + loans outstanding</t>
        </is>
      </c>
      <c r="B19" s="17">
        <f>B18+B17</f>
        <v/>
      </c>
      <c r="C19" s="17">
        <f>C18+C17</f>
        <v/>
      </c>
      <c r="D19" s="17">
        <f>D18+D17</f>
        <v/>
      </c>
      <c r="E19" s="17">
        <f>E18+E17</f>
        <v/>
      </c>
      <c r="F19" s="17">
        <f>F18+F17</f>
        <v/>
      </c>
      <c r="G19" s="17">
        <f>G18+G17</f>
        <v/>
      </c>
      <c r="H19" s="17">
        <f>H18+H17</f>
        <v/>
      </c>
      <c r="I19" s="17">
        <f>I18+I17</f>
        <v/>
      </c>
      <c r="J19" s="17">
        <f>J18+J17</f>
        <v/>
      </c>
      <c r="K19" s="17">
        <f>K18+K17</f>
        <v/>
      </c>
      <c r="L19" s="17">
        <f>L18+L17</f>
        <v/>
      </c>
      <c r="M19" s="33">
        <f>M18+M17</f>
        <v/>
      </c>
      <c r="N19" s="17">
        <f>N18+N17</f>
        <v/>
      </c>
      <c r="O19" s="17">
        <f>O18+O17</f>
        <v/>
      </c>
      <c r="P19" s="17">
        <f>P18+P17</f>
        <v/>
      </c>
      <c r="Q19" s="17">
        <f>Q18+Q17</f>
        <v/>
      </c>
      <c r="R19" s="17">
        <f>R18+R17</f>
        <v/>
      </c>
      <c r="S19" s="17">
        <f>S18+S17</f>
        <v/>
      </c>
      <c r="T19" s="17">
        <f>T18+T17</f>
        <v/>
      </c>
      <c r="U19" s="17">
        <f>U18+U17</f>
        <v/>
      </c>
      <c r="V19" s="17">
        <f>V18+V17</f>
        <v/>
      </c>
      <c r="W19" s="17">
        <f>W18+W17</f>
        <v/>
      </c>
      <c r="X19" s="17">
        <f>X18+X17</f>
        <v/>
      </c>
      <c r="Y19" s="17">
        <f>Y18+Y17</f>
        <v/>
      </c>
    </row>
    <row r="20">
      <c r="A20" s="26" t="inlineStr">
        <is>
          <t>(helper) month if cash is back to corpus</t>
        </is>
      </c>
      <c r="B20">
        <f>IF(B18&gt;=Inputs!$B$9-0.5,B5,999)</f>
        <v/>
      </c>
      <c r="C20">
        <f>IF(C18&gt;=Inputs!$B$9-0.5,C5,999)</f>
        <v/>
      </c>
      <c r="D20">
        <f>IF(D18&gt;=Inputs!$B$9-0.5,D5,999)</f>
        <v/>
      </c>
      <c r="E20">
        <f>IF(E18&gt;=Inputs!$B$9-0.5,E5,999)</f>
        <v/>
      </c>
      <c r="F20">
        <f>IF(F18&gt;=Inputs!$B$9-0.5,F5,999)</f>
        <v/>
      </c>
      <c r="G20">
        <f>IF(G18&gt;=Inputs!$B$9-0.5,G5,999)</f>
        <v/>
      </c>
      <c r="H20">
        <f>IF(H18&gt;=Inputs!$B$9-0.5,H5,999)</f>
        <v/>
      </c>
      <c r="I20">
        <f>IF(I18&gt;=Inputs!$B$9-0.5,I5,999)</f>
        <v/>
      </c>
      <c r="J20">
        <f>IF(J18&gt;=Inputs!$B$9-0.5,J5,999)</f>
        <v/>
      </c>
      <c r="K20">
        <f>IF(K18&gt;=Inputs!$B$9-0.5,K5,999)</f>
        <v/>
      </c>
      <c r="L20">
        <f>IF(L18&gt;=Inputs!$B$9-0.5,L5,999)</f>
        <v/>
      </c>
      <c r="M20" s="30">
        <f>IF(M18&gt;=Inputs!$B$9-0.5,M5,999)</f>
        <v/>
      </c>
      <c r="N20">
        <f>IF(N18&gt;=Inputs!$B$9-0.5,N5,999)</f>
        <v/>
      </c>
      <c r="O20">
        <f>IF(O18&gt;=Inputs!$B$9-0.5,O5,999)</f>
        <v/>
      </c>
      <c r="P20">
        <f>IF(P18&gt;=Inputs!$B$9-0.5,P5,999)</f>
        <v/>
      </c>
      <c r="Q20">
        <f>IF(Q18&gt;=Inputs!$B$9-0.5,Q5,999)</f>
        <v/>
      </c>
      <c r="R20">
        <f>IF(R18&gt;=Inputs!$B$9-0.5,R5,999)</f>
        <v/>
      </c>
      <c r="S20">
        <f>IF(S18&gt;=Inputs!$B$9-0.5,S5,999)</f>
        <v/>
      </c>
      <c r="T20">
        <f>IF(T18&gt;=Inputs!$B$9-0.5,T5,999)</f>
        <v/>
      </c>
      <c r="U20">
        <f>IF(U18&gt;=Inputs!$B$9-0.5,U5,999)</f>
        <v/>
      </c>
      <c r="V20">
        <f>IF(V18&gt;=Inputs!$B$9-0.5,V5,999)</f>
        <v/>
      </c>
      <c r="W20">
        <f>IF(W18&gt;=Inputs!$B$9-0.5,W5,999)</f>
        <v/>
      </c>
      <c r="X20">
        <f>IF(X18&gt;=Inputs!$B$9-0.5,X5,999)</f>
        <v/>
      </c>
      <c r="Y20">
        <f>IF(Y18&gt;=Inputs!$B$9-0.5,Y5,999)</f>
        <v/>
      </c>
    </row>
    <row r="22">
      <c r="A22" s="5" t="inlineStr">
        <is>
          <t>YEAR-END SNAPSHOT (end of month 12)</t>
        </is>
      </c>
      <c r="B22" s="6" t="n"/>
      <c r="C22" s="6" t="n"/>
      <c r="D22" s="6" t="n"/>
    </row>
    <row r="23">
      <c r="A23" t="inlineStr">
        <is>
          <t>Fund cash on hand at month 12</t>
        </is>
      </c>
      <c r="B23" s="21">
        <f>M18</f>
        <v/>
      </c>
    </row>
    <row r="24">
      <c r="A24" t="inlineStr">
        <is>
          <t>Money still out on loan at month 12 (repaid in year 2)</t>
        </is>
      </c>
      <c r="B24" s="21">
        <f>M17</f>
        <v/>
      </c>
    </row>
    <row r="25">
      <c r="A25" t="inlineStr">
        <is>
          <t>Cash + loans still out</t>
        </is>
      </c>
      <c r="B25" s="21">
        <f>M19</f>
        <v/>
      </c>
    </row>
    <row r="26">
      <c r="A26" t="inlineStr">
        <is>
          <t>Share of corpus back as cash at month 12</t>
        </is>
      </c>
      <c r="B26" s="22">
        <f>M18/Inputs!$B$9</f>
        <v/>
      </c>
    </row>
    <row r="27">
      <c r="A27" t="inlineStr">
        <is>
          <t>Total loans made in year 1 (incl. re-lending)</t>
        </is>
      </c>
      <c r="B27" s="21">
        <f>SUM(B10:M10)</f>
        <v/>
      </c>
    </row>
    <row r="28">
      <c r="A28" t="inlineStr">
        <is>
          <t>Times the corpus was lent in year 1 (turnover)</t>
        </is>
      </c>
      <c r="B28" s="23">
        <f>SUM(B10:M10)/Inputs!$B$9</f>
        <v/>
      </c>
    </row>
    <row r="29">
      <c r="A29" t="inlineStr">
        <is>
          <t>First month the corpus is fully back as cash</t>
        </is>
      </c>
      <c r="B29" s="34">
        <f>IF(MIN(B20:Y20)=999,"Not within 24 months (defaults not covered)",MIN(B20:Y20))</f>
        <v/>
      </c>
    </row>
    <row r="30">
      <c r="A30" t="inlineStr">
        <is>
          <t>Fund cash at month 24 (all loans closed)</t>
        </is>
      </c>
      <c r="B30" s="21">
        <f>Y18</f>
        <v/>
      </c>
    </row>
    <row r="31">
      <c r="A31" t="inlineStr">
        <is>
          <t>Check: new-loan % adds to 100%</t>
        </is>
      </c>
      <c r="B31" s="35">
        <f>IF(ABS(Z7-1)&lt;0.0001,"OK","ERROR: adjust row 7")</f>
        <v/>
      </c>
    </row>
    <row r="32">
      <c r="A32" t="inlineStr">
        <is>
          <t>Check: no new loans after the last lending month</t>
        </is>
      </c>
      <c r="B32" s="35">
        <f>IF(SUMPRODUCT((B5:M5&gt;Inputs!$B$18)*B7:M7)&gt;0,"WARNING: some % is after the last lending month and is ignored","OK")</f>
        <v/>
      </c>
    </row>
    <row r="34">
      <c r="A34" t="inlineStr">
        <is>
          <t>Note: fund cash counts TAMISEMI's share of repaid principal, the lender's risk-share compensation for defaults, and the default-budget share of interest. Interest shares also go to TAMISEMI, the region, the LGA and the lender; any repaid principal kept by the lender does not come back to the fund. The thick line marks year end.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 customWidth="1" min="1" max="1"/>
    <col width="60" customWidth="1" min="2" max="2"/>
    <col width="55" customWidth="1" min="3" max="3"/>
    <col width="9" customWidth="1" min="4" max="4"/>
    <col width="40" customWidth="1" min="5" max="5"/>
  </cols>
  <sheetData>
    <row r="1">
      <c r="A1" s="1" t="inlineStr">
        <is>
          <t>Open questions</t>
        </is>
      </c>
    </row>
    <row r="2">
      <c r="A2" s="2" t="inlineStr">
        <is>
          <t>To settle before the model uses real figures.</t>
        </is>
      </c>
    </row>
    <row r="4">
      <c r="A4" s="4" t="inlineStr">
        <is>
          <t>#</t>
        </is>
      </c>
      <c r="B4" s="4" t="inlineStr">
        <is>
          <t>Question</t>
        </is>
      </c>
      <c r="C4" s="4" t="inlineStr">
        <is>
          <t>Why it matters</t>
        </is>
      </c>
      <c r="D4" s="4" t="inlineStr">
        <is>
          <t>Added in</t>
        </is>
      </c>
      <c r="E4" s="4" t="inlineStr">
        <is>
          <t>Answer</t>
        </is>
      </c>
    </row>
    <row r="5">
      <c r="A5" s="36" t="n">
        <v>1</v>
      </c>
      <c r="B5" s="36" t="inlineStr">
        <is>
          <t>Is the Loan:Savings cap on the loan itself (loan must not exceed 0.5 x the CMG's savings)?</t>
        </is>
      </c>
      <c r="C5" s="36" t="inlineStr">
        <is>
          <t>Sets the loan cap per CMG on the Districts sheet.</t>
        </is>
      </c>
      <c r="D5" s="36" t="inlineStr">
        <is>
          <t>v0.1</t>
        </is>
      </c>
      <c r="E5" s="37" t="inlineStr"/>
    </row>
    <row r="6">
      <c r="A6" s="36" t="n">
        <v>2</v>
      </c>
      <c r="B6" s="36" t="inlineStr">
        <is>
          <t>Is interest flat or on the reducing balance? What is TAMISEMI's interest ceiling?</t>
        </is>
      </c>
      <c r="C6" s="36" t="inlineStr">
        <is>
          <t>Drives all interest income, and so the default budget.</t>
        </is>
      </c>
      <c r="D6" s="36" t="inlineStr">
        <is>
          <t>v0.1</t>
        </is>
      </c>
      <c r="E6" s="37" t="inlineStr"/>
    </row>
    <row r="7">
      <c r="A7" s="36" t="n">
        <v>3</v>
      </c>
      <c r="B7" s="36" t="inlineStr">
        <is>
          <t>Are the TAMISEMI, region and LGA amounts a % of interest, or a % of the loan amount?</t>
        </is>
      </c>
      <c r="C7" s="36" t="inlineStr">
        <is>
          <t>Changes how much interest is left for the default budget and the lender.</t>
        </is>
      </c>
      <c r="D7" s="36" t="inlineStr">
        <is>
          <t>v0.1</t>
        </is>
      </c>
      <c r="E7" s="37" t="inlineStr"/>
    </row>
    <row r="8">
      <c r="A8" s="36" t="n">
        <v>4</v>
      </c>
      <c r="B8" s="36" t="inlineStr">
        <is>
          <t>Can repayments be lent out again in the same year? If yes, to whom: new CMGs or second loans to the same CMGs?</t>
        </is>
      </c>
      <c r="C8" s="36" t="inlineStr">
        <is>
          <t>Re-lending raises total lending but ties money up longer; the Districts sheet only allocates the first round.</t>
        </is>
      </c>
      <c r="D8" s="36" t="inlineStr">
        <is>
          <t>v0.1</t>
        </is>
      </c>
      <c r="E8" s="37" t="inlineStr"/>
    </row>
    <row r="9">
      <c r="A9" s="36" t="n">
        <v>5</v>
      </c>
      <c r="B9" s="36" t="inlineStr">
        <is>
          <t>Are the $2m lender and $2m CMG incentive pots paid in full each year, or spread over several years?</t>
        </is>
      </c>
      <c r="C9" s="36" t="inlineStr">
        <is>
          <t>Decides whether the corpus stays at $20m every year.</t>
        </is>
      </c>
      <c r="D9" s="36" t="inlineStr">
        <is>
          <t>v0.1</t>
        </is>
      </c>
      <c r="E9" s="37" t="inlineStr"/>
    </row>
    <row r="10">
      <c r="A10" s="36" t="n">
        <v>6</v>
      </c>
      <c r="B10" s="36" t="inlineStr">
        <is>
          <t>When does TAMISEMI's annual cycle end (e.g. financial year July-June)? At that date, must the corpus be back as CASH, or can loans still running count?</t>
        </is>
      </c>
      <c r="C10" s="36" t="inlineStr">
        <is>
          <t>With lending across the cycle and tenures up to 12 months, some money is always out on loan at year end.</t>
        </is>
      </c>
      <c r="D10" s="36" t="inlineStr">
        <is>
          <t>v0.2</t>
        </is>
      </c>
      <c r="E10" s="37" t="inlineStr"/>
    </row>
    <row r="11">
      <c r="A11" s="36" t="n">
        <v>7</v>
      </c>
      <c r="B11" s="36" t="inlineStr">
        <is>
          <t>Do CMG savings cycles start in different months (staggered), or all at once?</t>
        </is>
      </c>
      <c r="C11" s="36" t="inlineStr">
        <is>
          <t>A loan must end before the CMG's share-out, so a 12-month loan only fits a CMG that borrows at the very start of its cycle.</t>
        </is>
      </c>
      <c r="D11" s="36" t="inlineStr">
        <is>
          <t>v0.2</t>
        </is>
      </c>
      <c r="E11" s="37" t="inlineStr"/>
    </row>
    <row r="12">
      <c r="A12" s="36" t="n">
        <v>8</v>
      </c>
      <c r="B12" s="36" t="inlineStr">
        <is>
          <t>With the lender discount removed, is the lender's only income the interest margin plus the lender incentives? Does the lender pay anything for the TAMISEMI advance?</t>
        </is>
      </c>
      <c r="C12" s="36" t="inlineStr">
        <is>
          <t>Shows whether lending is worth it for the lender.</t>
        </is>
      </c>
      <c r="D12" s="36" t="inlineStr">
        <is>
          <t>v0.2</t>
        </is>
      </c>
      <c r="E12" s="37" t="inlineStr"/>
    </row>
    <row r="13">
      <c r="A13" s="36" t="n">
        <v>9</v>
      </c>
      <c r="B13" s="36" t="inlineStr">
        <is>
          <t>Should the 15-working-day disbursement rule apply to each new advance across the cycle, not only the first?</t>
        </is>
      </c>
      <c r="C13" s="36" t="inlineStr">
        <is>
          <t>Sets how fast money can go out each month.</t>
        </is>
      </c>
      <c r="D13" s="36" t="inlineStr">
        <is>
          <t>v0.2</t>
        </is>
      </c>
      <c r="E13" s="37" t="inlineStr"/>
    </row>
    <row r="14">
      <c r="A14" s="36" t="n">
        <v>10</v>
      </c>
      <c r="B14" s="36" t="inlineStr">
        <is>
          <t>Are defaulted loans written off at maturity, or chased into the next year (recoveries)?</t>
        </is>
      </c>
      <c r="C14" s="36" t="inlineStr">
        <is>
          <t>Recoveries would add money back to the corpus later.</t>
        </is>
      </c>
      <c r="D14" s="36" t="inlineStr">
        <is>
          <t>v0.2</t>
        </is>
      </c>
      <c r="E14" s="37" t="inlineStr"/>
    </row>
    <row r="15">
      <c r="A15" s="36" t="n">
        <v>11</v>
      </c>
      <c r="B15" s="36" t="inlineStr">
        <is>
          <t>Who should be able to edit the 'PAMOJA Model Inputs' GUI, and does each district need its own editor?</t>
        </is>
      </c>
      <c r="C15" s="36" t="inlineStr">
        <is>
          <t>The GUI page is currently shared only with its owner; wider access needs a deliberate share decision.</t>
        </is>
      </c>
      <c r="D15" s="36" t="inlineStr">
        <is>
          <t>v0.3</t>
        </is>
      </c>
      <c r="E15" s="37" t="inlineStr"/>
    </row>
    <row r="16">
      <c r="A16" s="36" t="n">
        <v>12</v>
      </c>
      <c r="B16" s="36" t="inlineStr">
        <is>
          <t>What should the risk share of defaults between TAMISEMI and the lender actually be, and should it vary by lender or by performance? Should the lender ever keep part of the repaid principal instead of returning all of it to TAMISEMI?</t>
        </is>
      </c>
      <c r="C16" s="36" t="inlineStr">
        <is>
          <t>Placeholders now: TAMISEMI absorbs 50% of every default, the lender the other 50%; the lender returns 100% of repaid principal to TAMISEMI. Matches question 12 on the flowchart (trigger and timing of risk share are still open).</t>
        </is>
      </c>
      <c r="D16" s="36" t="inlineStr">
        <is>
          <t>v0.4</t>
        </is>
      </c>
      <c r="E16" s="3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0" customWidth="1" min="1" max="1"/>
    <col width="100" customWidth="1" min="2" max="2"/>
  </cols>
  <sheetData>
    <row r="1">
      <c r="A1" s="1" t="inlineStr">
        <is>
          <t>Glossary</t>
        </is>
      </c>
    </row>
    <row r="2">
      <c r="A2" s="2" t="inlineStr">
        <is>
          <t>Acronyms and terms used in this model.</t>
        </is>
      </c>
    </row>
    <row r="4">
      <c r="A4" s="4" t="inlineStr">
        <is>
          <t>Term</t>
        </is>
      </c>
      <c r="B4" s="4" t="inlineStr">
        <is>
          <t>Meaning</t>
        </is>
      </c>
    </row>
    <row r="5">
      <c r="A5" s="3" t="inlineStr">
        <is>
          <t>Advance</t>
        </is>
      </c>
      <c r="B5" t="inlineStr">
        <is>
          <t>Money TAMISEMI sends a lender ahead of lending, based on the CMG pool allocated to that lender.</t>
        </is>
      </c>
    </row>
    <row r="6">
      <c r="A6" s="3" t="inlineStr">
        <is>
          <t>Allocation</t>
        </is>
      </c>
      <c r="B6" t="inlineStr">
        <is>
          <t>The share of the lending corpus given to a district, based on its loan demand.</t>
        </is>
      </c>
    </row>
    <row r="7">
      <c r="A7" s="3" t="inlineStr">
        <is>
          <t>Annual cycle</t>
        </is>
      </c>
      <c r="B7" t="inlineStr">
        <is>
          <t>The CMG's savings year. Loans must be repaid before the share-out at the end.</t>
        </is>
      </c>
    </row>
    <row r="8">
      <c r="A8" s="3" t="inlineStr">
        <is>
          <t>Break-even default rate</t>
        </is>
      </c>
      <c r="B8" t="inlineStr">
        <is>
          <t>The highest default rate the default budget and TAMISEMI's risk share can cover and still restore the corpus.</t>
        </is>
      </c>
    </row>
    <row r="9">
      <c r="A9" s="3" t="inlineStr">
        <is>
          <t>CMG</t>
        </is>
      </c>
      <c r="B9" t="inlineStr">
        <is>
          <t>Community Microfinance Group: a savings group whose members save and lend to each other.</t>
        </is>
      </c>
    </row>
    <row r="10">
      <c r="A10" s="3" t="inlineStr">
        <is>
          <t>Corpus</t>
        </is>
      </c>
      <c r="B10" t="inlineStr">
        <is>
          <t>The pool of money available to lend ($24m less the $4m set aside for incentives).</t>
        </is>
      </c>
    </row>
    <row r="11">
      <c r="A11" s="3" t="inlineStr">
        <is>
          <t>Default</t>
        </is>
      </c>
      <c r="B11" t="inlineStr">
        <is>
          <t>A loan, or part of a loan, that is not repaid.</t>
        </is>
      </c>
    </row>
    <row r="12">
      <c r="A12" s="3" t="inlineStr">
        <is>
          <t>Default budget / loss reserve</t>
        </is>
      </c>
      <c r="B12" t="inlineStr">
        <is>
          <t>The share of interest set aside to cover TAMISEMI's risk share of defaults.</t>
        </is>
      </c>
    </row>
    <row r="13">
      <c r="A13" s="3" t="inlineStr">
        <is>
          <t>Demand</t>
        </is>
      </c>
      <c r="B13" t="inlineStr">
        <is>
          <t>Number of CMGs x loan per CMG, before any scaling down.</t>
        </is>
      </c>
    </row>
    <row r="14">
      <c r="A14" s="3" t="inlineStr">
        <is>
          <t>Flat interest</t>
        </is>
      </c>
      <c r="B14" t="inlineStr">
        <is>
          <t>Interest worked out on the full loan amount for the whole term, not on the falling balance.</t>
        </is>
      </c>
    </row>
    <row r="15">
      <c r="A15" s="3" t="inlineStr">
        <is>
          <t>Incentive</t>
        </is>
      </c>
      <c r="B15" t="inlineStr">
        <is>
          <t>A payment to reward good results (lenders: lending well; CMGs: on-time repayment).</t>
        </is>
      </c>
    </row>
    <row r="16">
      <c r="A16" s="3" t="inlineStr">
        <is>
          <t>Instalment</t>
        </is>
      </c>
      <c r="B16" t="inlineStr">
        <is>
          <t>One of the equal monthly repayments of a loan.</t>
        </is>
      </c>
    </row>
    <row r="17">
      <c r="A17" s="3" t="inlineStr">
        <is>
          <t>Lender margin</t>
        </is>
      </c>
      <c r="B17" t="inlineStr">
        <is>
          <t>The share of interest the lender keeps after the default budget and the TAMISEMI/region/LGA shares are paid, before its risk share of defaults.</t>
        </is>
      </c>
    </row>
    <row r="18">
      <c r="A18" s="3" t="inlineStr">
        <is>
          <t>Lender's net result</t>
        </is>
      </c>
      <c r="B18" t="inlineStr">
        <is>
          <t>Lender margin, less the lender's own risk share of defaults, plus any repaid principal the lender keeps instead of returning to TAMISEMI.</t>
        </is>
      </c>
    </row>
    <row r="19">
      <c r="A19" s="3" t="inlineStr">
        <is>
          <t>LGA</t>
        </is>
      </c>
      <c r="B19" t="inlineStr">
        <is>
          <t>Local Government Authority: the district or council.</t>
        </is>
      </c>
    </row>
    <row r="20">
      <c r="A20" s="3" t="inlineStr">
        <is>
          <t>Loan:Savings ratio</t>
        </is>
      </c>
      <c r="B20" t="inlineStr">
        <is>
          <t>Loan amount divided by the CMG's savings. Capped by the maximum ratio input.</t>
        </is>
      </c>
    </row>
    <row r="21">
      <c r="A21" s="3" t="inlineStr">
        <is>
          <t>Portfolio default rate</t>
        </is>
      </c>
      <c r="B21" t="inlineStr">
        <is>
          <t>Defaulted principal as a % of all loans made.</t>
        </is>
      </c>
    </row>
    <row r="22">
      <c r="A22" s="3" t="inlineStr">
        <is>
          <t>Principal</t>
        </is>
      </c>
      <c r="B22" t="inlineStr">
        <is>
          <t>The amount lent, not counting interest.</t>
        </is>
      </c>
    </row>
    <row r="23">
      <c r="A23" s="3" t="inlineStr">
        <is>
          <t>Re-lending / revolving fund</t>
        </is>
      </c>
      <c r="B23" t="inlineStr">
        <is>
          <t>Lending repayments out again instead of holding them as cash.</t>
        </is>
      </c>
    </row>
    <row r="24">
      <c r="A24" s="3" t="inlineStr">
        <is>
          <t>Risk share</t>
        </is>
      </c>
      <c r="B24" t="inlineStr">
        <is>
          <t>How the loss on a defaulted loan is split between TAMISEMI (absorbed against the corpus) and the lender (its own loss, repaid to the fund as compensation).</t>
        </is>
      </c>
    </row>
    <row r="25">
      <c r="A25" s="3" t="inlineStr">
        <is>
          <t>Run-off</t>
        </is>
      </c>
      <c r="B25" t="inlineStr">
        <is>
          <t>The period after lending stops, while loans already made are being repaid.</t>
        </is>
      </c>
    </row>
    <row r="26">
      <c r="A26" s="3" t="inlineStr">
        <is>
          <t>Scale factor</t>
        </is>
      </c>
      <c r="B26" t="inlineStr">
        <is>
          <t>The % of demand that can be met when demand is more than the corpus.</t>
        </is>
      </c>
    </row>
    <row r="27">
      <c r="A27" s="3" t="inlineStr">
        <is>
          <t>Service fee</t>
        </is>
      </c>
      <c r="B27" t="inlineStr">
        <is>
          <t>The Region and LGA shares of interest collected (previously called Region/LGA share).</t>
        </is>
      </c>
    </row>
    <row r="28">
      <c r="A28" s="3" t="inlineStr">
        <is>
          <t>Share-out</t>
        </is>
      </c>
      <c r="B28" t="inlineStr">
        <is>
          <t>When the CMG shares its savings and profits among members at the end of the cycle.</t>
        </is>
      </c>
    </row>
    <row r="29">
      <c r="A29" s="3" t="inlineStr">
        <is>
          <t>TAMISEMI</t>
        </is>
      </c>
      <c r="B29" t="inlineStr">
        <is>
          <t>President's Office - Regional Administration and Local Government (Tanzania). Funds PAMOJA.</t>
        </is>
      </c>
    </row>
    <row r="30">
      <c r="A30" s="3" t="inlineStr">
        <is>
          <t>TAMISEMI share of repaid principal</t>
        </is>
      </c>
      <c r="B30" t="inlineStr">
        <is>
          <t>The % of every repaid instalment's principal that returns to the TAMISEMI corpus; the rest is kept by the lender.</t>
        </is>
      </c>
    </row>
    <row r="31">
      <c r="A31" s="3" t="inlineStr">
        <is>
          <t>Tenure / term</t>
        </is>
      </c>
      <c r="B31" t="inlineStr">
        <is>
          <t>How long a loan runs, in months, from disbursement to the last instalment.</t>
        </is>
      </c>
    </row>
    <row r="32">
      <c r="A32" s="3" t="inlineStr">
        <is>
          <t>Turnover</t>
        </is>
      </c>
      <c r="B32" t="inlineStr">
        <is>
          <t>Total loans made in a year divided by the corpus: how many times the money was lent.</t>
        </is>
      </c>
    </row>
    <row r="33">
      <c r="A33" s="3" t="inlineStr">
        <is>
          <t>TZS / USD</t>
        </is>
      </c>
      <c r="B33" t="inlineStr">
        <is>
          <t>Tanzanian shilling / United States dollar.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2026-09-28T05:12:42Z</dcterms:created>
  <dcterms:modified xsi:type="dcterms:W3CDTF">2026-09-28T05:12:42Z</dcterms:modified>
</cp:coreProperties>
</file>