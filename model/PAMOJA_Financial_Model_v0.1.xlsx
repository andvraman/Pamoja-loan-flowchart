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Districts" sheetId="3" state="visible" r:id="rId3"/>
    <sheet name="Fund flow" sheetId="4" state="visible" r:id="rId4"/>
    <sheet name="Monthly cycl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C5A3F"/>
      <sz val="14"/>
    </font>
    <font>
      <i val="1"/>
      <color rgb="005B6B60"/>
    </font>
    <font>
      <b val="1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C5A3F"/>
      </patternFill>
    </fill>
    <fill>
      <patternFill patternType="solid">
        <fgColor rgb="00DCEBE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6CDBE"/>
      </left>
      <right style="thin">
        <color rgb="00C6CDBE"/>
      </right>
      <top style="thin">
        <color rgb="00C6CDBE"/>
      </top>
      <bottom style="thin">
        <color rgb="00C6CDB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164" fontId="3" fillId="0" borderId="1" pivotButton="0" quotePrefix="0" xfId="0"/>
    <xf numFmtId="2" fontId="5" fillId="4" borderId="1" pivotButton="0" quotePrefix="0" xfId="0"/>
    <xf numFmtId="165" fontId="5" fillId="4" borderId="1" pivotButton="0" quotePrefix="0" xfId="0"/>
    <xf numFmtId="1" fontId="5" fillId="4" borderId="1" pivotButton="0" quotePrefix="0" xfId="0"/>
    <xf numFmtId="165" fontId="3" fillId="0" borderId="1" pivotButton="0" quotePrefix="0" xfId="0"/>
    <xf numFmtId="49" fontId="3" fillId="0" borderId="1" pivotButton="0" quotePrefix="0" xfId="0"/>
    <xf numFmtId="0" fontId="0" fillId="4" borderId="0" pivotButton="0" quotePrefix="0" xfId="0"/>
    <xf numFmtId="3" fontId="5" fillId="4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PAMOJA simplified financial model - v0.1 (draft)</t>
        </is>
      </c>
    </row>
    <row r="2">
      <c r="A2" s="2" t="inlineStr">
        <is>
          <t>How $24m flows TAMISEMI -&gt; Lenders -&gt; CMGs as loans, and back as repayments.</t>
        </is>
      </c>
    </row>
    <row r="4">
      <c r="A4" t="inlineStr"/>
    </row>
    <row r="5">
      <c r="A5" s="3" t="inlineStr">
        <is>
          <t>HOW TO USE</t>
        </is>
      </c>
    </row>
    <row r="6">
      <c r="A6" t="inlineStr">
        <is>
          <t>1. Change the yellow cells with blue numbers only. Everything else is a formula.</t>
        </is>
      </c>
    </row>
    <row r="7">
      <c r="A7" t="inlineStr">
        <is>
          <t>2. Inputs: fund size and assumptions. Districts: CMG numbers, savings and loan size per LGA.</t>
        </is>
      </c>
    </row>
    <row r="8">
      <c r="A8" t="inlineStr">
        <is>
          <t>3. Fund flow: one annual cycle as a waterfall, with a check that the corpus is restored.</t>
        </is>
      </c>
    </row>
    <row r="9">
      <c r="A9" t="inlineStr">
        <is>
          <t>4. Monthly cycle: when loans go out and come back over 12 months.</t>
        </is>
      </c>
    </row>
    <row r="10">
      <c r="A10" t="inlineStr"/>
    </row>
    <row r="11">
      <c r="A11" s="3" t="inlineStr">
        <is>
          <t>IMPORTANT</t>
        </is>
      </c>
    </row>
    <row r="12">
      <c r="A12" t="inlineStr">
        <is>
          <t>- All district data and rates are DUMMY placeholders. Replace them with real figures.</t>
        </is>
      </c>
    </row>
    <row r="13">
      <c r="A13" t="inlineStr">
        <is>
          <t>- The split of interest (default budget, discounts, TAMISEMI, region, LGA) is a first guess to confirm.</t>
        </is>
      </c>
    </row>
    <row r="14">
      <c r="A14" t="inlineStr"/>
    </row>
    <row r="15">
      <c r="A15" t="inlineStr">
        <is>
          <t>SIMPLE LOGIC (v0.1)</t>
        </is>
      </c>
    </row>
    <row r="16">
      <c r="A16" t="inlineStr">
        <is>
          <t>- Lending corpus = Total fund - Lender incentives - CMG incentives.</t>
        </is>
      </c>
    </row>
    <row r="17">
      <c r="A17" t="inlineStr">
        <is>
          <t>- Loan per CMG = the smaller of: average loan asked for, or savings x maximum Loan:Savings ratio.</t>
        </is>
      </c>
    </row>
    <row r="18">
      <c r="A18" t="inlineStr">
        <is>
          <t>- Demand per district = number of CMGs x loan per CMG.</t>
        </is>
      </c>
    </row>
    <row r="19">
      <c r="A19" t="inlineStr">
        <is>
          <t>- If total demand is more than the corpus, every district is scaled down by the same %.</t>
        </is>
      </c>
    </row>
    <row r="20">
      <c r="A20" t="inlineStr">
        <is>
          <t>- Interest is flat: rate x loan x term. Defaulted loans pay no principal and no interest.</t>
        </is>
      </c>
    </row>
    <row r="21">
      <c r="A21" t="inlineStr">
        <is>
          <t>- The corpus is restored if the default budget taken from interest covers the defaulted principal.</t>
        </is>
      </c>
    </row>
    <row r="22">
      <c r="A22" t="inlineStr"/>
    </row>
    <row r="23">
      <c r="A23" t="inlineStr">
        <is>
          <t>NOT YET IN THE MODEL (next steps)</t>
        </is>
      </c>
    </row>
    <row r="24">
      <c r="A24" t="inlineStr">
        <is>
          <t>- Re-lending repayments within the same cycle (revolving fund).</t>
        </is>
      </c>
    </row>
    <row r="25">
      <c r="A25" t="inlineStr">
        <is>
          <t>- Multiple lenders per LGA; different terms per district; region-level roll-up.</t>
        </is>
      </c>
    </row>
    <row r="26">
      <c r="A26" t="inlineStr">
        <is>
          <t>- Timing of incentive payments; LGA service fee formula; risk-share formula (Q12).</t>
        </is>
      </c>
    </row>
    <row r="27">
      <c r="A27" t="inlineStr">
        <is>
          <t>- Exchange rate (TZS / USD) and inflation.</t>
        </is>
      </c>
    </row>
    <row r="28">
      <c r="A28" t="inlineStr"/>
    </row>
    <row r="29">
      <c r="A29" t="inlineStr">
        <is>
          <t>See the 'Glossary' sheet for all acronyms and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8" customWidth="1" min="3" max="3"/>
    <col width="55" customWidth="1" min="4" max="4"/>
  </cols>
  <sheetData>
    <row r="1">
      <c r="A1" s="1" t="inlineStr">
        <is>
          <t>Inputs</t>
        </is>
      </c>
    </row>
    <row r="2">
      <c r="A2" s="2" t="inlineStr">
        <is>
          <t>Yellow cells are inputs. Dummy values - replace with agreed figures.</t>
        </is>
      </c>
    </row>
    <row r="4">
      <c r="A4" s="4" t="inlineStr">
        <is>
          <t>Item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</t>
        </is>
      </c>
    </row>
    <row r="5">
      <c r="A5" s="5" t="inlineStr">
        <is>
          <t>FUND</t>
        </is>
      </c>
      <c r="B5" s="6" t="n"/>
      <c r="C5" s="6" t="n"/>
      <c r="D5" s="6" t="n"/>
    </row>
    <row r="6">
      <c r="A6" t="inlineStr">
        <is>
          <t>Total PAMOJA fund</t>
        </is>
      </c>
      <c r="B6" s="7" t="n">
        <v>24000000</v>
      </c>
      <c r="C6" t="inlineStr">
        <is>
          <t>USD</t>
        </is>
      </c>
      <c r="D6" t="inlineStr">
        <is>
          <t>From TAMISEMI</t>
        </is>
      </c>
    </row>
    <row r="7">
      <c r="A7" t="inlineStr">
        <is>
          <t>Lender incentives (set aside)</t>
        </is>
      </c>
      <c r="B7" s="7" t="n">
        <v>2000000</v>
      </c>
      <c r="C7" t="inlineStr">
        <is>
          <t>USD</t>
        </is>
      </c>
      <c r="D7" t="inlineStr">
        <is>
          <t>Not lent out</t>
        </is>
      </c>
    </row>
    <row r="8">
      <c r="A8" t="inlineStr">
        <is>
          <t>CMG incentives (set aside)</t>
        </is>
      </c>
      <c r="B8" s="7" t="n">
        <v>2000000</v>
      </c>
      <c r="C8" t="inlineStr">
        <is>
          <t>USD</t>
        </is>
      </c>
      <c r="D8" t="inlineStr">
        <is>
          <t>Not lent out</t>
        </is>
      </c>
    </row>
    <row r="9">
      <c r="A9" t="inlineStr">
        <is>
          <t>Lending corpus</t>
        </is>
      </c>
      <c r="B9" s="8">
        <f>B6-B7-B8</f>
        <v/>
      </c>
      <c r="C9" t="inlineStr">
        <is>
          <t>USD</t>
        </is>
      </c>
      <c r="D9" t="inlineStr">
        <is>
          <t>Formula: money available to lend</t>
        </is>
      </c>
    </row>
    <row r="10">
      <c r="A10" s="5" t="inlineStr">
        <is>
          <t>LENDING RULES</t>
        </is>
      </c>
      <c r="B10" s="6" t="n"/>
      <c r="C10" s="6" t="n"/>
      <c r="D10" s="6" t="n"/>
    </row>
    <row r="11">
      <c r="A11" t="inlineStr">
        <is>
          <t>Maximum Loan:Savings ratio</t>
        </is>
      </c>
      <c r="B11" s="9" t="n">
        <v>0.5</v>
      </c>
      <c r="C11" t="inlineStr">
        <is>
          <t>x</t>
        </is>
      </c>
      <c r="D11" t="inlineStr">
        <is>
          <t>Loan must not exceed this x CMG savings</t>
        </is>
      </c>
    </row>
    <row r="12">
      <c r="A12" t="inlineStr">
        <is>
          <t>Interest rate (flat, per year)</t>
        </is>
      </c>
      <c r="B12" s="10" t="n">
        <v>0.18</v>
      </c>
      <c r="C12" t="inlineStr">
        <is>
          <t>%</t>
        </is>
      </c>
      <c r="D12" t="inlineStr">
        <is>
          <t>Placeholder; must be at or below TAMISEMI ceiling</t>
        </is>
      </c>
    </row>
    <row r="13">
      <c r="A13" t="inlineStr">
        <is>
          <t>Loan term</t>
        </is>
      </c>
      <c r="B13" s="11" t="n">
        <v>6</v>
      </c>
      <c r="C13" t="inlineStr">
        <is>
          <t>months</t>
        </is>
      </c>
      <c r="D13" t="inlineStr">
        <is>
          <t>Months. Must end before the CMG share-out</t>
        </is>
      </c>
    </row>
    <row r="14">
      <c r="A14" t="inlineStr">
        <is>
          <t>Portfolio default rate (budget)</t>
        </is>
      </c>
      <c r="B14" s="10" t="n">
        <v>0.05</v>
      </c>
      <c r="C14" t="inlineStr">
        <is>
          <t>%</t>
        </is>
      </c>
      <c r="D14" t="inlineStr">
        <is>
          <t>% of principal lent that is not repaid</t>
        </is>
      </c>
    </row>
    <row r="15">
      <c r="A15" s="5" t="inlineStr">
        <is>
          <t>SPLIT OF INTEREST COLLECTED</t>
        </is>
      </c>
      <c r="B15" s="6" t="n"/>
      <c r="C15" s="6" t="n"/>
      <c r="D15" s="6" t="n"/>
    </row>
    <row r="16">
      <c r="A16" t="inlineStr">
        <is>
          <t>Default budget (loss reserve)</t>
        </is>
      </c>
      <c r="B16" s="10" t="n">
        <v>0.3</v>
      </c>
      <c r="C16" t="inlineStr">
        <is>
          <t>%</t>
        </is>
      </c>
      <c r="D16" t="inlineStr">
        <is>
          <t>Returned to fund to cover defaults</t>
        </is>
      </c>
    </row>
    <row r="17">
      <c r="A17" t="inlineStr">
        <is>
          <t>Lender discount</t>
        </is>
      </c>
      <c r="B17" s="10" t="n">
        <v>0.15</v>
      </c>
      <c r="C17" t="inlineStr">
        <is>
          <t>%</t>
        </is>
      </c>
      <c r="D17" t="inlineStr">
        <is>
          <t>Placeholder</t>
        </is>
      </c>
    </row>
    <row r="18">
      <c r="A18" t="inlineStr">
        <is>
          <t>TAMISEMI share</t>
        </is>
      </c>
      <c r="B18" s="10" t="n">
        <v>0.1</v>
      </c>
      <c r="C18" t="inlineStr">
        <is>
          <t>%</t>
        </is>
      </c>
      <c r="D18" t="inlineStr">
        <is>
          <t>Placeholder</t>
        </is>
      </c>
    </row>
    <row r="19">
      <c r="A19" t="inlineStr">
        <is>
          <t>Region share</t>
        </is>
      </c>
      <c r="B19" s="10" t="n">
        <v>0.05</v>
      </c>
      <c r="C19" t="inlineStr">
        <is>
          <t>%</t>
        </is>
      </c>
      <c r="D19" t="inlineStr">
        <is>
          <t>Placeholder</t>
        </is>
      </c>
    </row>
    <row r="20">
      <c r="A20" t="inlineStr">
        <is>
          <t>LGA share</t>
        </is>
      </c>
      <c r="B20" s="10" t="n">
        <v>0.05</v>
      </c>
      <c r="C20" t="inlineStr">
        <is>
          <t>%</t>
        </is>
      </c>
      <c r="D20" t="inlineStr">
        <is>
          <t>Placeholder</t>
        </is>
      </c>
    </row>
    <row r="21">
      <c r="A21" t="inlineStr">
        <is>
          <t>Lender net margin (remainder)</t>
        </is>
      </c>
      <c r="B21" s="12">
        <f>1-SUM(B16:B20)</f>
        <v/>
      </c>
      <c r="C21" t="inlineStr">
        <is>
          <t>%</t>
        </is>
      </c>
      <c r="D21" t="inlineStr">
        <is>
          <t>Formula: what is left for the lender</t>
        </is>
      </c>
    </row>
    <row r="22">
      <c r="A22" t="inlineStr">
        <is>
          <t>Check: split adds to 100% or less</t>
        </is>
      </c>
      <c r="B22" s="13">
        <f>IF(B21&gt;=0,"OK","ERROR: over 100%")</f>
        <v/>
      </c>
      <c r="C22" t="inlineStr"/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Allocation by district (LGA)</t>
        </is>
      </c>
    </row>
    <row r="2">
      <c r="A2" s="2" t="inlineStr">
        <is>
          <t>Dummy data. Add real LGAs in the yellow cells; up to 20 rows.</t>
        </is>
      </c>
    </row>
    <row r="4" ht="45" customHeight="1">
      <c r="A4" s="4" t="inlineStr">
        <is>
          <t>District (LGA)</t>
        </is>
      </c>
      <c r="B4" s="4" t="inlineStr">
        <is>
          <t>Number of CMGs</t>
        </is>
      </c>
      <c r="C4" s="4" t="inlineStr">
        <is>
          <t>Average savings per CMG (USD)</t>
        </is>
      </c>
      <c r="D4" s="4" t="inlineStr">
        <is>
          <t>Average loan asked per CMG (USD)</t>
        </is>
      </c>
      <c r="E4" s="4" t="inlineStr">
        <is>
          <t>Loan cap per CMG = savings x ratio</t>
        </is>
      </c>
      <c r="F4" s="4" t="inlineStr">
        <is>
          <t>Loan per CMG (smaller of the two)</t>
        </is>
      </c>
      <c r="G4" s="4" t="inlineStr">
        <is>
          <t>Loan:Savings ratio used</t>
        </is>
      </c>
      <c r="H4" s="4" t="inlineStr">
        <is>
          <t>Demand (USD)</t>
        </is>
      </c>
      <c r="I4" s="4" t="inlineStr">
        <is>
          <t>Allocation (USD)</t>
        </is>
      </c>
      <c r="J4" s="4" t="inlineStr">
        <is>
          <t>Share of corpus</t>
        </is>
      </c>
    </row>
    <row r="5">
      <c r="A5" s="14" t="inlineStr">
        <is>
          <t>District A</t>
        </is>
      </c>
      <c r="B5" s="15" t="n">
        <v>2500</v>
      </c>
      <c r="C5" s="7" t="n">
        <v>4000</v>
      </c>
      <c r="D5" s="7" t="n">
        <v>2500</v>
      </c>
      <c r="E5" s="16">
        <f>IF(B5="","",C5*Inputs!$B$11)</f>
        <v/>
      </c>
      <c r="F5" s="16">
        <f>IF(B5="","",MIN(D5,E5))</f>
        <v/>
      </c>
      <c r="G5" s="17">
        <f>IF(B5="","",F5/C5)</f>
        <v/>
      </c>
      <c r="H5" s="16">
        <f>IF(B5="",0,B5*F5)</f>
        <v/>
      </c>
      <c r="I5" s="16">
        <f>IF(B5="",0,H5*$B$28)</f>
        <v/>
      </c>
      <c r="J5" s="18">
        <f>IF(B5="","",I5/Inputs!$B$9)</f>
        <v/>
      </c>
    </row>
    <row r="6">
      <c r="A6" s="14" t="inlineStr">
        <is>
          <t>District B</t>
        </is>
      </c>
      <c r="B6" s="15" t="n">
        <v>1800</v>
      </c>
      <c r="C6" s="7" t="n">
        <v>3000</v>
      </c>
      <c r="D6" s="7" t="n">
        <v>2000</v>
      </c>
      <c r="E6" s="16">
        <f>IF(B6="","",C6*Inputs!$B$11)</f>
        <v/>
      </c>
      <c r="F6" s="16">
        <f>IF(B6="","",MIN(D6,E6))</f>
        <v/>
      </c>
      <c r="G6" s="17">
        <f>IF(B6="","",F6/C6)</f>
        <v/>
      </c>
      <c r="H6" s="16">
        <f>IF(B6="",0,B6*F6)</f>
        <v/>
      </c>
      <c r="I6" s="16">
        <f>IF(B6="",0,H6*$B$28)</f>
        <v/>
      </c>
      <c r="J6" s="18">
        <f>IF(B6="","",I6/Inputs!$B$9)</f>
        <v/>
      </c>
    </row>
    <row r="7">
      <c r="A7" s="14" t="inlineStr">
        <is>
          <t>District C</t>
        </is>
      </c>
      <c r="B7" s="15" t="n">
        <v>3200</v>
      </c>
      <c r="C7" s="7" t="n">
        <v>5000</v>
      </c>
      <c r="D7" s="7" t="n">
        <v>3000</v>
      </c>
      <c r="E7" s="16">
        <f>IF(B7="","",C7*Inputs!$B$11)</f>
        <v/>
      </c>
      <c r="F7" s="16">
        <f>IF(B7="","",MIN(D7,E7))</f>
        <v/>
      </c>
      <c r="G7" s="17">
        <f>IF(B7="","",F7/C7)</f>
        <v/>
      </c>
      <c r="H7" s="16">
        <f>IF(B7="",0,B7*F7)</f>
        <v/>
      </c>
      <c r="I7" s="16">
        <f>IF(B7="",0,H7*$B$28)</f>
        <v/>
      </c>
      <c r="J7" s="18">
        <f>IF(B7="","",I7/Inputs!$B$9)</f>
        <v/>
      </c>
    </row>
    <row r="8">
      <c r="A8" s="14" t="inlineStr">
        <is>
          <t>District D</t>
        </is>
      </c>
      <c r="B8" s="15" t="n">
        <v>1500</v>
      </c>
      <c r="C8" s="7" t="n">
        <v>3500</v>
      </c>
      <c r="D8" s="7" t="n">
        <v>1500</v>
      </c>
      <c r="E8" s="16">
        <f>IF(B8="","",C8*Inputs!$B$11)</f>
        <v/>
      </c>
      <c r="F8" s="16">
        <f>IF(B8="","",MIN(D8,E8))</f>
        <v/>
      </c>
      <c r="G8" s="17">
        <f>IF(B8="","",F8/C8)</f>
        <v/>
      </c>
      <c r="H8" s="16">
        <f>IF(B8="",0,B8*F8)</f>
        <v/>
      </c>
      <c r="I8" s="16">
        <f>IF(B8="",0,H8*$B$28)</f>
        <v/>
      </c>
      <c r="J8" s="18">
        <f>IF(B8="","",I8/Inputs!$B$9)</f>
        <v/>
      </c>
    </row>
    <row r="9">
      <c r="A9" s="14" t="inlineStr">
        <is>
          <t>District E</t>
        </is>
      </c>
      <c r="B9" s="15" t="n">
        <v>2000</v>
      </c>
      <c r="C9" s="7" t="n">
        <v>4500</v>
      </c>
      <c r="D9" s="7" t="n">
        <v>2500</v>
      </c>
      <c r="E9" s="16">
        <f>IF(B9="","",C9*Inputs!$B$11)</f>
        <v/>
      </c>
      <c r="F9" s="16">
        <f>IF(B9="","",MIN(D9,E9))</f>
        <v/>
      </c>
      <c r="G9" s="17">
        <f>IF(B9="","",F9/C9)</f>
        <v/>
      </c>
      <c r="H9" s="16">
        <f>IF(B9="",0,B9*F9)</f>
        <v/>
      </c>
      <c r="I9" s="16">
        <f>IF(B9="",0,H9*$B$28)</f>
        <v/>
      </c>
      <c r="J9" s="18">
        <f>IF(B9="","",I9/Inputs!$B$9)</f>
        <v/>
      </c>
    </row>
    <row r="10">
      <c r="A10" s="14" t="n"/>
      <c r="B10" s="15" t="n"/>
      <c r="C10" s="7" t="n"/>
      <c r="D10" s="7" t="n"/>
      <c r="E10" s="16">
        <f>IF(B10="","",C10*Inputs!$B$11)</f>
        <v/>
      </c>
      <c r="F10" s="16">
        <f>IF(B10="","",MIN(D10,E10))</f>
        <v/>
      </c>
      <c r="G10" s="17">
        <f>IF(B10="","",F10/C10)</f>
        <v/>
      </c>
      <c r="H10" s="16">
        <f>IF(B10="",0,B10*F10)</f>
        <v/>
      </c>
      <c r="I10" s="16">
        <f>IF(B10="",0,H10*$B$28)</f>
        <v/>
      </c>
      <c r="J10" s="18">
        <f>IF(B10="","",I10/Inputs!$B$9)</f>
        <v/>
      </c>
    </row>
    <row r="11">
      <c r="A11" s="14" t="n"/>
      <c r="B11" s="15" t="n"/>
      <c r="C11" s="7" t="n"/>
      <c r="D11" s="7" t="n"/>
      <c r="E11" s="16">
        <f>IF(B11="","",C11*Inputs!$B$11)</f>
        <v/>
      </c>
      <c r="F11" s="16">
        <f>IF(B11="","",MIN(D11,E11))</f>
        <v/>
      </c>
      <c r="G11" s="17">
        <f>IF(B11="","",F11/C11)</f>
        <v/>
      </c>
      <c r="H11" s="16">
        <f>IF(B11="",0,B11*F11)</f>
        <v/>
      </c>
      <c r="I11" s="16">
        <f>IF(B11="",0,H11*$B$28)</f>
        <v/>
      </c>
      <c r="J11" s="18">
        <f>IF(B11="","",I11/Inputs!$B$9)</f>
        <v/>
      </c>
    </row>
    <row r="12">
      <c r="A12" s="14" t="n"/>
      <c r="B12" s="15" t="n"/>
      <c r="C12" s="7" t="n"/>
      <c r="D12" s="7" t="n"/>
      <c r="E12" s="16">
        <f>IF(B12="","",C12*Inputs!$B$11)</f>
        <v/>
      </c>
      <c r="F12" s="16">
        <f>IF(B12="","",MIN(D12,E12))</f>
        <v/>
      </c>
      <c r="G12" s="17">
        <f>IF(B12="","",F12/C12)</f>
        <v/>
      </c>
      <c r="H12" s="16">
        <f>IF(B12="",0,B12*F12)</f>
        <v/>
      </c>
      <c r="I12" s="16">
        <f>IF(B12="",0,H12*$B$28)</f>
        <v/>
      </c>
      <c r="J12" s="18">
        <f>IF(B12="","",I12/Inputs!$B$9)</f>
        <v/>
      </c>
    </row>
    <row r="13">
      <c r="A13" s="14" t="n"/>
      <c r="B13" s="15" t="n"/>
      <c r="C13" s="7" t="n"/>
      <c r="D13" s="7" t="n"/>
      <c r="E13" s="16">
        <f>IF(B13="","",C13*Inputs!$B$11)</f>
        <v/>
      </c>
      <c r="F13" s="16">
        <f>IF(B13="","",MIN(D13,E13))</f>
        <v/>
      </c>
      <c r="G13" s="17">
        <f>IF(B13="","",F13/C13)</f>
        <v/>
      </c>
      <c r="H13" s="16">
        <f>IF(B13="",0,B13*F13)</f>
        <v/>
      </c>
      <c r="I13" s="16">
        <f>IF(B13="",0,H13*$B$28)</f>
        <v/>
      </c>
      <c r="J13" s="18">
        <f>IF(B13="","",I13/Inputs!$B$9)</f>
        <v/>
      </c>
    </row>
    <row r="14">
      <c r="A14" s="14" t="n"/>
      <c r="B14" s="15" t="n"/>
      <c r="C14" s="7" t="n"/>
      <c r="D14" s="7" t="n"/>
      <c r="E14" s="16">
        <f>IF(B14="","",C14*Inputs!$B$11)</f>
        <v/>
      </c>
      <c r="F14" s="16">
        <f>IF(B14="","",MIN(D14,E14))</f>
        <v/>
      </c>
      <c r="G14" s="17">
        <f>IF(B14="","",F14/C14)</f>
        <v/>
      </c>
      <c r="H14" s="16">
        <f>IF(B14="",0,B14*F14)</f>
        <v/>
      </c>
      <c r="I14" s="16">
        <f>IF(B14="",0,H14*$B$28)</f>
        <v/>
      </c>
      <c r="J14" s="18">
        <f>IF(B14="","",I14/Inputs!$B$9)</f>
        <v/>
      </c>
    </row>
    <row r="15">
      <c r="A15" s="14" t="n"/>
      <c r="B15" s="15" t="n"/>
      <c r="C15" s="7" t="n"/>
      <c r="D15" s="7" t="n"/>
      <c r="E15" s="16">
        <f>IF(B15="","",C15*Inputs!$B$11)</f>
        <v/>
      </c>
      <c r="F15" s="16">
        <f>IF(B15="","",MIN(D15,E15))</f>
        <v/>
      </c>
      <c r="G15" s="17">
        <f>IF(B15="","",F15/C15)</f>
        <v/>
      </c>
      <c r="H15" s="16">
        <f>IF(B15="",0,B15*F15)</f>
        <v/>
      </c>
      <c r="I15" s="16">
        <f>IF(B15="",0,H15*$B$28)</f>
        <v/>
      </c>
      <c r="J15" s="18">
        <f>IF(B15="","",I15/Inputs!$B$9)</f>
        <v/>
      </c>
    </row>
    <row r="16">
      <c r="A16" s="14" t="n"/>
      <c r="B16" s="15" t="n"/>
      <c r="C16" s="7" t="n"/>
      <c r="D16" s="7" t="n"/>
      <c r="E16" s="16">
        <f>IF(B16="","",C16*Inputs!$B$11)</f>
        <v/>
      </c>
      <c r="F16" s="16">
        <f>IF(B16="","",MIN(D16,E16))</f>
        <v/>
      </c>
      <c r="G16" s="17">
        <f>IF(B16="","",F16/C16)</f>
        <v/>
      </c>
      <c r="H16" s="16">
        <f>IF(B16="",0,B16*F16)</f>
        <v/>
      </c>
      <c r="I16" s="16">
        <f>IF(B16="",0,H16*$B$28)</f>
        <v/>
      </c>
      <c r="J16" s="18">
        <f>IF(B16="","",I16/Inputs!$B$9)</f>
        <v/>
      </c>
    </row>
    <row r="17">
      <c r="A17" s="14" t="n"/>
      <c r="B17" s="15" t="n"/>
      <c r="C17" s="7" t="n"/>
      <c r="D17" s="7" t="n"/>
      <c r="E17" s="16">
        <f>IF(B17="","",C17*Inputs!$B$11)</f>
        <v/>
      </c>
      <c r="F17" s="16">
        <f>IF(B17="","",MIN(D17,E17))</f>
        <v/>
      </c>
      <c r="G17" s="17">
        <f>IF(B17="","",F17/C17)</f>
        <v/>
      </c>
      <c r="H17" s="16">
        <f>IF(B17="",0,B17*F17)</f>
        <v/>
      </c>
      <c r="I17" s="16">
        <f>IF(B17="",0,H17*$B$28)</f>
        <v/>
      </c>
      <c r="J17" s="18">
        <f>IF(B17="","",I17/Inputs!$B$9)</f>
        <v/>
      </c>
    </row>
    <row r="18">
      <c r="A18" s="14" t="n"/>
      <c r="B18" s="15" t="n"/>
      <c r="C18" s="7" t="n"/>
      <c r="D18" s="7" t="n"/>
      <c r="E18" s="16">
        <f>IF(B18="","",C18*Inputs!$B$11)</f>
        <v/>
      </c>
      <c r="F18" s="16">
        <f>IF(B18="","",MIN(D18,E18))</f>
        <v/>
      </c>
      <c r="G18" s="17">
        <f>IF(B18="","",F18/C18)</f>
        <v/>
      </c>
      <c r="H18" s="16">
        <f>IF(B18="",0,B18*F18)</f>
        <v/>
      </c>
      <c r="I18" s="16">
        <f>IF(B18="",0,H18*$B$28)</f>
        <v/>
      </c>
      <c r="J18" s="18">
        <f>IF(B18="","",I18/Inputs!$B$9)</f>
        <v/>
      </c>
    </row>
    <row r="19">
      <c r="A19" s="14" t="n"/>
      <c r="B19" s="15" t="n"/>
      <c r="C19" s="7" t="n"/>
      <c r="D19" s="7" t="n"/>
      <c r="E19" s="16">
        <f>IF(B19="","",C19*Inputs!$B$11)</f>
        <v/>
      </c>
      <c r="F19" s="16">
        <f>IF(B19="","",MIN(D19,E19))</f>
        <v/>
      </c>
      <c r="G19" s="17">
        <f>IF(B19="","",F19/C19)</f>
        <v/>
      </c>
      <c r="H19" s="16">
        <f>IF(B19="",0,B19*F19)</f>
        <v/>
      </c>
      <c r="I19" s="16">
        <f>IF(B19="",0,H19*$B$28)</f>
        <v/>
      </c>
      <c r="J19" s="18">
        <f>IF(B19="","",I19/Inputs!$B$9)</f>
        <v/>
      </c>
    </row>
    <row r="20">
      <c r="A20" s="14" t="n"/>
      <c r="B20" s="15" t="n"/>
      <c r="C20" s="7" t="n"/>
      <c r="D20" s="7" t="n"/>
      <c r="E20" s="16">
        <f>IF(B20="","",C20*Inputs!$B$11)</f>
        <v/>
      </c>
      <c r="F20" s="16">
        <f>IF(B20="","",MIN(D20,E20))</f>
        <v/>
      </c>
      <c r="G20" s="17">
        <f>IF(B20="","",F20/C20)</f>
        <v/>
      </c>
      <c r="H20" s="16">
        <f>IF(B20="",0,B20*F20)</f>
        <v/>
      </c>
      <c r="I20" s="16">
        <f>IF(B20="",0,H20*$B$28)</f>
        <v/>
      </c>
      <c r="J20" s="18">
        <f>IF(B20="","",I20/Inputs!$B$9)</f>
        <v/>
      </c>
    </row>
    <row r="21">
      <c r="A21" s="14" t="n"/>
      <c r="B21" s="15" t="n"/>
      <c r="C21" s="7" t="n"/>
      <c r="D21" s="7" t="n"/>
      <c r="E21" s="16">
        <f>IF(B21="","",C21*Inputs!$B$11)</f>
        <v/>
      </c>
      <c r="F21" s="16">
        <f>IF(B21="","",MIN(D21,E21))</f>
        <v/>
      </c>
      <c r="G21" s="17">
        <f>IF(B21="","",F21/C21)</f>
        <v/>
      </c>
      <c r="H21" s="16">
        <f>IF(B21="",0,B21*F21)</f>
        <v/>
      </c>
      <c r="I21" s="16">
        <f>IF(B21="",0,H21*$B$28)</f>
        <v/>
      </c>
      <c r="J21" s="18">
        <f>IF(B21="","",I21/Inputs!$B$9)</f>
        <v/>
      </c>
    </row>
    <row r="22">
      <c r="A22" s="14" t="n"/>
      <c r="B22" s="15" t="n"/>
      <c r="C22" s="7" t="n"/>
      <c r="D22" s="7" t="n"/>
      <c r="E22" s="16">
        <f>IF(B22="","",C22*Inputs!$B$11)</f>
        <v/>
      </c>
      <c r="F22" s="16">
        <f>IF(B22="","",MIN(D22,E22))</f>
        <v/>
      </c>
      <c r="G22" s="17">
        <f>IF(B22="","",F22/C22)</f>
        <v/>
      </c>
      <c r="H22" s="16">
        <f>IF(B22="",0,B22*F22)</f>
        <v/>
      </c>
      <c r="I22" s="16">
        <f>IF(B22="",0,H22*$B$28)</f>
        <v/>
      </c>
      <c r="J22" s="18">
        <f>IF(B22="","",I22/Inputs!$B$9)</f>
        <v/>
      </c>
    </row>
    <row r="23">
      <c r="A23" s="14" t="n"/>
      <c r="B23" s="15" t="n"/>
      <c r="C23" s="7" t="n"/>
      <c r="D23" s="7" t="n"/>
      <c r="E23" s="16">
        <f>IF(B23="","",C23*Inputs!$B$11)</f>
        <v/>
      </c>
      <c r="F23" s="16">
        <f>IF(B23="","",MIN(D23,E23))</f>
        <v/>
      </c>
      <c r="G23" s="17">
        <f>IF(B23="","",F23/C23)</f>
        <v/>
      </c>
      <c r="H23" s="16">
        <f>IF(B23="",0,B23*F23)</f>
        <v/>
      </c>
      <c r="I23" s="16">
        <f>IF(B23="",0,H23*$B$28)</f>
        <v/>
      </c>
      <c r="J23" s="18">
        <f>IF(B23="","",I23/Inputs!$B$9)</f>
        <v/>
      </c>
    </row>
    <row r="24">
      <c r="A24" s="14" t="n"/>
      <c r="B24" s="15" t="n"/>
      <c r="C24" s="7" t="n"/>
      <c r="D24" s="7" t="n"/>
      <c r="E24" s="16">
        <f>IF(B24="","",C24*Inputs!$B$11)</f>
        <v/>
      </c>
      <c r="F24" s="16">
        <f>IF(B24="","",MIN(D24,E24))</f>
        <v/>
      </c>
      <c r="G24" s="17">
        <f>IF(B24="","",F24/C24)</f>
        <v/>
      </c>
      <c r="H24" s="16">
        <f>IF(B24="",0,B24*F24)</f>
        <v/>
      </c>
      <c r="I24" s="16">
        <f>IF(B24="",0,H24*$B$28)</f>
        <v/>
      </c>
      <c r="J24" s="18">
        <f>IF(B24="","",I24/Inputs!$B$9)</f>
        <v/>
      </c>
    </row>
    <row r="25">
      <c r="A25" s="3" t="inlineStr">
        <is>
          <t>TOTAL</t>
        </is>
      </c>
      <c r="B25" s="19">
        <f>SUM(B5:B24)</f>
        <v/>
      </c>
      <c r="H25" s="20">
        <f>SUM(H5:H24)</f>
        <v/>
      </c>
      <c r="I25" s="20">
        <f>SUM(I5:I24)</f>
        <v/>
      </c>
      <c r="J25" s="21">
        <f>SUM(J5:J24)</f>
        <v/>
      </c>
    </row>
    <row r="27">
      <c r="A27" t="inlineStr">
        <is>
          <t>Lending corpus</t>
        </is>
      </c>
      <c r="B27" s="20">
        <f>Inputs!$B$9</f>
        <v/>
      </c>
    </row>
    <row r="28">
      <c r="A28" t="inlineStr">
        <is>
          <t>Scale factor (1 = full demand met)</t>
        </is>
      </c>
      <c r="B28" s="22">
        <f>IF(H25=0,0,MIN(1,B27/H25))</f>
        <v/>
      </c>
    </row>
    <row r="29">
      <c r="A29" t="inlineStr">
        <is>
          <t>Corpus not used</t>
        </is>
      </c>
      <c r="B29" s="20">
        <f>B27-I25</f>
        <v/>
      </c>
    </row>
    <row r="30">
      <c r="A30" t="inlineStr">
        <is>
          <t>Demand not met</t>
        </is>
      </c>
      <c r="B30" s="20">
        <f>H25-I25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48" customWidth="1" min="4" max="4"/>
  </cols>
  <sheetData>
    <row r="1">
      <c r="A1" s="1" t="inlineStr">
        <is>
          <t>Fund flow for one annual cycle</t>
        </is>
      </c>
    </row>
    <row r="2">
      <c r="A2" s="2" t="inlineStr">
        <is>
          <t>TAMISEMI -&gt; Lenders -&gt; CMGs -&gt; back. All formulas.</t>
        </is>
      </c>
    </row>
    <row r="4">
      <c r="A4" s="4" t="inlineStr">
        <is>
          <t>Step</t>
        </is>
      </c>
      <c r="B4" s="4" t="inlineStr">
        <is>
          <t>Amount (USD)</t>
        </is>
      </c>
      <c r="C4" s="4" t="inlineStr">
        <is>
          <t>From -&gt; To</t>
        </is>
      </c>
      <c r="D4" s="4" t="inlineStr">
        <is>
          <t>How it is worked out</t>
        </is>
      </c>
    </row>
    <row r="5">
      <c r="A5" s="5" t="inlineStr">
        <is>
          <t>1. MONEY OUT</t>
        </is>
      </c>
      <c r="B5" s="6" t="n"/>
      <c r="C5" s="6" t="n"/>
      <c r="D5" s="6" t="n"/>
    </row>
    <row r="6">
      <c r="A6" t="inlineStr">
        <is>
          <t>Total PAMOJA fund</t>
        </is>
      </c>
      <c r="B6" s="23">
        <f>Inputs!B6</f>
        <v/>
      </c>
      <c r="C6" t="inlineStr">
        <is>
          <t>TAMISEMI</t>
        </is>
      </c>
      <c r="D6" t="inlineStr"/>
    </row>
    <row r="7">
      <c r="A7" t="inlineStr">
        <is>
          <t>Lender incentives set aside</t>
        </is>
      </c>
      <c r="B7" s="23">
        <f>Inputs!B7</f>
        <v/>
      </c>
      <c r="C7" t="inlineStr">
        <is>
          <t>TAMISEMI -&gt; Lenders</t>
        </is>
      </c>
      <c r="D7" t="inlineStr">
        <is>
          <t>Paid later, not lent</t>
        </is>
      </c>
    </row>
    <row r="8">
      <c r="A8" t="inlineStr">
        <is>
          <t>CMG incentives set aside</t>
        </is>
      </c>
      <c r="B8" s="23">
        <f>Inputs!B8</f>
        <v/>
      </c>
      <c r="C8" t="inlineStr">
        <is>
          <t>TAMISEMI -&gt; CMGs</t>
        </is>
      </c>
      <c r="D8" t="inlineStr">
        <is>
          <t>Paid later, not lent</t>
        </is>
      </c>
    </row>
    <row r="9">
      <c r="A9" t="inlineStr">
        <is>
          <t>Advance to lenders (= loans made)</t>
        </is>
      </c>
      <c r="B9" s="23">
        <f>Districts!$I$25</f>
        <v/>
      </c>
      <c r="C9" t="inlineStr">
        <is>
          <t>TAMISEMI -&gt; Lenders</t>
        </is>
      </c>
      <c r="D9" t="inlineStr">
        <is>
          <t>Sum of district allocations</t>
        </is>
      </c>
    </row>
    <row r="10">
      <c r="A10" t="inlineStr">
        <is>
          <t>Corpus not lent (returned)</t>
        </is>
      </c>
      <c r="B10" s="23">
        <f>Inputs!B9-B9</f>
        <v/>
      </c>
      <c r="C10" t="inlineStr">
        <is>
          <t>Lenders -&gt; TAMISEMI</t>
        </is>
      </c>
      <c r="D10" t="inlineStr">
        <is>
          <t>Unused advance</t>
        </is>
      </c>
    </row>
    <row r="11">
      <c r="A11" t="inlineStr">
        <is>
          <t>Loans to CMGs</t>
        </is>
      </c>
      <c r="B11" s="23">
        <f>B9</f>
        <v/>
      </c>
      <c r="C11" t="inlineStr">
        <is>
          <t>Lenders -&gt; CMGs</t>
        </is>
      </c>
      <c r="D11" t="inlineStr">
        <is>
          <t>Advance lent in full</t>
        </is>
      </c>
    </row>
    <row r="12">
      <c r="A12" s="5" t="inlineStr">
        <is>
          <t>2. MONEY BACK FROM CMGs</t>
        </is>
      </c>
      <c r="B12" s="6" t="n"/>
      <c r="C12" s="6" t="n"/>
      <c r="D12" s="6" t="n"/>
    </row>
    <row r="13">
      <c r="A13" t="inlineStr">
        <is>
          <t>Principal defaulted</t>
        </is>
      </c>
      <c r="B13" s="23">
        <f>B11*Inputs!$B$14</f>
        <v/>
      </c>
      <c r="C13" t="inlineStr"/>
      <c r="D13" t="inlineStr">
        <is>
          <t>Loans x default rate</t>
        </is>
      </c>
    </row>
    <row r="14">
      <c r="A14" t="inlineStr">
        <is>
          <t>Principal repaid</t>
        </is>
      </c>
      <c r="B14" s="23">
        <f>B11-B13</f>
        <v/>
      </c>
      <c r="C14" t="inlineStr">
        <is>
          <t>CMGs -&gt; Lenders</t>
        </is>
      </c>
      <c r="D14" t="inlineStr">
        <is>
          <t>Loans - defaults</t>
        </is>
      </c>
    </row>
    <row r="15">
      <c r="A15" t="inlineStr">
        <is>
          <t>Interest collected</t>
        </is>
      </c>
      <c r="B15" s="23">
        <f>B14*Inputs!$B$12*Inputs!$B$13/12</f>
        <v/>
      </c>
      <c r="C15" t="inlineStr">
        <is>
          <t>CMGs -&gt; Lenders</t>
        </is>
      </c>
      <c r="D15" t="inlineStr">
        <is>
          <t>Flat: repaid loans x rate x term/12</t>
        </is>
      </c>
    </row>
    <row r="16">
      <c r="A16" t="inlineStr">
        <is>
          <t>Total repayments</t>
        </is>
      </c>
      <c r="B16" s="23">
        <f>B14+B15</f>
        <v/>
      </c>
      <c r="C16" t="inlineStr">
        <is>
          <t>CMGs -&gt; Lenders</t>
        </is>
      </c>
      <c r="D16" t="inlineStr"/>
    </row>
    <row r="17">
      <c r="A17" s="5" t="inlineStr">
        <is>
          <t>3. SPLIT OF INTEREST</t>
        </is>
      </c>
      <c r="B17" s="6" t="n"/>
      <c r="C17" s="6" t="n"/>
      <c r="D17" s="6" t="n"/>
    </row>
    <row r="18">
      <c r="A18" t="inlineStr">
        <is>
          <t>Default budget (loss reserve)</t>
        </is>
      </c>
      <c r="B18" s="23">
        <f>B15*Inputs!B16</f>
        <v/>
      </c>
      <c r="C18" t="inlineStr">
        <is>
          <t>Lenders -&gt; TAMISEMI</t>
        </is>
      </c>
      <c r="D18" t="inlineStr"/>
    </row>
    <row r="19">
      <c r="A19" t="inlineStr">
        <is>
          <t>Lender discount</t>
        </is>
      </c>
      <c r="B19" s="23">
        <f>B15*Inputs!B17</f>
        <v/>
      </c>
      <c r="C19" t="inlineStr">
        <is>
          <t>Kept by lenders</t>
        </is>
      </c>
      <c r="D19" t="inlineStr"/>
    </row>
    <row r="20">
      <c r="A20" t="inlineStr">
        <is>
          <t>TAMISEMI share</t>
        </is>
      </c>
      <c r="B20" s="23">
        <f>B15*Inputs!B18</f>
        <v/>
      </c>
      <c r="C20" t="inlineStr">
        <is>
          <t>Lenders -&gt; TAMISEMI</t>
        </is>
      </c>
      <c r="D20" t="inlineStr"/>
    </row>
    <row r="21">
      <c r="A21" t="inlineStr">
        <is>
          <t>Region share</t>
        </is>
      </c>
      <c r="B21" s="23">
        <f>B15*Inputs!B19</f>
        <v/>
      </c>
      <c r="C21" t="inlineStr">
        <is>
          <t>-&gt; Region</t>
        </is>
      </c>
      <c r="D21" t="inlineStr"/>
    </row>
    <row r="22">
      <c r="A22" t="inlineStr">
        <is>
          <t>LGA share</t>
        </is>
      </c>
      <c r="B22" s="23">
        <f>B15*Inputs!B20</f>
        <v/>
      </c>
      <c r="C22" t="inlineStr">
        <is>
          <t>-&gt; LGA</t>
        </is>
      </c>
      <c r="D22" t="inlineStr"/>
    </row>
    <row r="23">
      <c r="A23" t="inlineStr">
        <is>
          <t>Lender net margin</t>
        </is>
      </c>
      <c r="B23" s="23">
        <f>B15*Inputs!B21</f>
        <v/>
      </c>
      <c r="C23" t="inlineStr">
        <is>
          <t>Kept by lenders</t>
        </is>
      </c>
      <c r="D23" t="inlineStr">
        <is>
          <t>Remainder</t>
        </is>
      </c>
    </row>
    <row r="24">
      <c r="A24" s="5" t="inlineStr">
        <is>
          <t>4. CORPUS CHECK (end of cycle)</t>
        </is>
      </c>
      <c r="B24" s="6" t="n"/>
      <c r="C24" s="6" t="n"/>
      <c r="D24" s="6" t="n"/>
    </row>
    <row r="25">
      <c r="A25" t="inlineStr">
        <is>
          <t>Corpus at start</t>
        </is>
      </c>
      <c r="B25" s="23">
        <f>Inputs!B9</f>
        <v/>
      </c>
      <c r="C25" t="inlineStr"/>
      <c r="D25" t="inlineStr"/>
    </row>
    <row r="26">
      <c r="A26" t="inlineStr">
        <is>
          <t>Principal repaid to TAMISEMI</t>
        </is>
      </c>
      <c r="B26" s="23">
        <f>B14</f>
        <v/>
      </c>
      <c r="C26" t="inlineStr">
        <is>
          <t>Lenders -&gt; TAMISEMI</t>
        </is>
      </c>
      <c r="D26" t="inlineStr"/>
    </row>
    <row r="27">
      <c r="A27" t="inlineStr">
        <is>
          <t>Corpus not lent</t>
        </is>
      </c>
      <c r="B27" s="23">
        <f>B10</f>
        <v/>
      </c>
      <c r="C27" t="inlineStr"/>
      <c r="D27" t="inlineStr"/>
    </row>
    <row r="28">
      <c r="A28" t="inlineStr">
        <is>
          <t>Default budget added back</t>
        </is>
      </c>
      <c r="B28" s="23">
        <f>B18</f>
        <v/>
      </c>
      <c r="C28" t="inlineStr"/>
      <c r="D28" t="inlineStr">
        <is>
          <t>Covers the defaulted principal</t>
        </is>
      </c>
    </row>
    <row r="29">
      <c r="A29" s="3" t="inlineStr">
        <is>
          <t>Corpus at end</t>
        </is>
      </c>
      <c r="B29" s="8">
        <f>B26+B27+B28</f>
        <v/>
      </c>
      <c r="C29" t="inlineStr"/>
      <c r="D29" t="inlineStr"/>
    </row>
    <row r="30">
      <c r="A30" t="inlineStr">
        <is>
          <t>Gap (end - start)</t>
        </is>
      </c>
      <c r="B30" s="23">
        <f>B29-B25</f>
        <v/>
      </c>
      <c r="C30" t="inlineStr"/>
      <c r="D30" t="inlineStr">
        <is>
          <t>Negative = corpus NOT restored</t>
        </is>
      </c>
    </row>
    <row r="31">
      <c r="A31" s="3" t="inlineStr">
        <is>
          <t>Result</t>
        </is>
      </c>
      <c r="B31" s="8">
        <f>IF(B30&gt;=-0.5,"Corpus restored","Corpus NOT restored - raise interest share for defaults or rate")</f>
        <v/>
      </c>
      <c r="C31" t="inlineStr"/>
      <c r="D31" t="inlineStr"/>
    </row>
    <row r="32">
      <c r="A32" t="inlineStr">
        <is>
          <t>Default budget needed (% of interest)</t>
        </is>
      </c>
      <c r="B32" s="24">
        <f>IF(B15=0,0,B13/B15)</f>
        <v/>
      </c>
      <c r="C32" t="inlineStr"/>
      <c r="D32" t="inlineStr">
        <is>
          <t>Minimum share of interest to cover defaults</t>
        </is>
      </c>
    </row>
    <row r="33">
      <c r="A33" t="inlineStr">
        <is>
          <t>Break-even default rate</t>
        </is>
      </c>
      <c r="B33" s="24">
        <f>Inputs!B16*Inputs!$B$12*Inputs!$B$13/12/(1+Inputs!B16*Inputs!$B$12*Inputs!$B$13/12)</f>
        <v/>
      </c>
      <c r="C33" t="inlineStr"/>
      <c r="D33" t="inlineStr">
        <is>
          <t>Highest default rate the current split can cover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Monthly cycle (12 months)</t>
        </is>
      </c>
    </row>
    <row r="2">
      <c r="A2" s="2" t="inlineStr">
        <is>
          <t>Enter the % of total loans disbursed each month (yellow). Repayments are equal monthly instalments over the loan term.</t>
        </is>
      </c>
    </row>
    <row r="4">
      <c r="A4" s="4" t="inlineStr">
        <is>
          <t>Line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Total</t>
        </is>
      </c>
    </row>
    <row r="5">
      <c r="A5" t="inlineStr">
        <is>
          <t>Month number</t>
        </is>
      </c>
      <c r="B5" s="3" t="n">
        <v>1</v>
      </c>
      <c r="C5" s="3" t="n">
        <v>2</v>
      </c>
      <c r="D5" s="3" t="n">
        <v>3</v>
      </c>
      <c r="E5" s="3" t="n">
        <v>4</v>
      </c>
      <c r="F5" s="3" t="n">
        <v>5</v>
      </c>
      <c r="G5" s="3" t="n">
        <v>6</v>
      </c>
      <c r="H5" s="3" t="n">
        <v>7</v>
      </c>
      <c r="I5" s="3" t="n">
        <v>8</v>
      </c>
      <c r="J5" s="3" t="n">
        <v>9</v>
      </c>
      <c r="K5" s="3" t="n">
        <v>10</v>
      </c>
      <c r="L5" s="3" t="n">
        <v>11</v>
      </c>
      <c r="M5" s="3" t="n">
        <v>12</v>
      </c>
    </row>
    <row r="6">
      <c r="A6" t="inlineStr">
        <is>
          <t>% of loans disbursed this month</t>
        </is>
      </c>
      <c r="B6" s="10" t="n">
        <v>0.4</v>
      </c>
      <c r="C6" s="10" t="n">
        <v>0.3</v>
      </c>
      <c r="D6" s="10" t="n">
        <v>0.2</v>
      </c>
      <c r="E6" s="10" t="n">
        <v>0.1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8">
        <f>SUM(B6:M6)</f>
        <v/>
      </c>
    </row>
    <row r="7">
      <c r="A7" t="inlineStr">
        <is>
          <t>Loans disbursed</t>
        </is>
      </c>
      <c r="B7" s="16">
        <f>B6*Districts!$I$25</f>
        <v/>
      </c>
      <c r="C7" s="16">
        <f>C6*Districts!$I$25</f>
        <v/>
      </c>
      <c r="D7" s="16">
        <f>D6*Districts!$I$25</f>
        <v/>
      </c>
      <c r="E7" s="16">
        <f>E6*Districts!$I$25</f>
        <v/>
      </c>
      <c r="F7" s="16">
        <f>F6*Districts!$I$25</f>
        <v/>
      </c>
      <c r="G7" s="16">
        <f>G6*Districts!$I$25</f>
        <v/>
      </c>
      <c r="H7" s="16">
        <f>H6*Districts!$I$25</f>
        <v/>
      </c>
      <c r="I7" s="16">
        <f>I6*Districts!$I$25</f>
        <v/>
      </c>
      <c r="J7" s="16">
        <f>J6*Districts!$I$25</f>
        <v/>
      </c>
      <c r="K7" s="16">
        <f>K6*Districts!$I$25</f>
        <v/>
      </c>
      <c r="L7" s="16">
        <f>L6*Districts!$I$25</f>
        <v/>
      </c>
      <c r="M7" s="16">
        <f>M6*Districts!$I$25</f>
        <v/>
      </c>
      <c r="N7" s="16">
        <f>SUM(B7:M7)</f>
        <v/>
      </c>
    </row>
    <row r="8">
      <c r="A8" t="inlineStr">
        <is>
          <t>Principal due</t>
        </is>
      </c>
      <c r="B8" s="16">
        <f>SUMPRODUCT((B$5-$B$5:$M$5&gt;=1)*(B$5-$B$5:$M$5&lt;=Inputs!$B$13)*$B$7:$M$7)/Inputs!$B$13</f>
        <v/>
      </c>
      <c r="C8" s="16">
        <f>SUMPRODUCT((C$5-$B$5:$M$5&gt;=1)*(C$5-$B$5:$M$5&lt;=Inputs!$B$13)*$B$7:$M$7)/Inputs!$B$13</f>
        <v/>
      </c>
      <c r="D8" s="16">
        <f>SUMPRODUCT((D$5-$B$5:$M$5&gt;=1)*(D$5-$B$5:$M$5&lt;=Inputs!$B$13)*$B$7:$M$7)/Inputs!$B$13</f>
        <v/>
      </c>
      <c r="E8" s="16">
        <f>SUMPRODUCT((E$5-$B$5:$M$5&gt;=1)*(E$5-$B$5:$M$5&lt;=Inputs!$B$13)*$B$7:$M$7)/Inputs!$B$13</f>
        <v/>
      </c>
      <c r="F8" s="16">
        <f>SUMPRODUCT((F$5-$B$5:$M$5&gt;=1)*(F$5-$B$5:$M$5&lt;=Inputs!$B$13)*$B$7:$M$7)/Inputs!$B$13</f>
        <v/>
      </c>
      <c r="G8" s="16">
        <f>SUMPRODUCT((G$5-$B$5:$M$5&gt;=1)*(G$5-$B$5:$M$5&lt;=Inputs!$B$13)*$B$7:$M$7)/Inputs!$B$13</f>
        <v/>
      </c>
      <c r="H8" s="16">
        <f>SUMPRODUCT((H$5-$B$5:$M$5&gt;=1)*(H$5-$B$5:$M$5&lt;=Inputs!$B$13)*$B$7:$M$7)/Inputs!$B$13</f>
        <v/>
      </c>
      <c r="I8" s="16">
        <f>SUMPRODUCT((I$5-$B$5:$M$5&gt;=1)*(I$5-$B$5:$M$5&lt;=Inputs!$B$13)*$B$7:$M$7)/Inputs!$B$13</f>
        <v/>
      </c>
      <c r="J8" s="16">
        <f>SUMPRODUCT((J$5-$B$5:$M$5&gt;=1)*(J$5-$B$5:$M$5&lt;=Inputs!$B$13)*$B$7:$M$7)/Inputs!$B$13</f>
        <v/>
      </c>
      <c r="K8" s="16">
        <f>SUMPRODUCT((K$5-$B$5:$M$5&gt;=1)*(K$5-$B$5:$M$5&lt;=Inputs!$B$13)*$B$7:$M$7)/Inputs!$B$13</f>
        <v/>
      </c>
      <c r="L8" s="16">
        <f>SUMPRODUCT((L$5-$B$5:$M$5&gt;=1)*(L$5-$B$5:$M$5&lt;=Inputs!$B$13)*$B$7:$M$7)/Inputs!$B$13</f>
        <v/>
      </c>
      <c r="M8" s="16">
        <f>SUMPRODUCT((M$5-$B$5:$M$5&gt;=1)*(M$5-$B$5:$M$5&lt;=Inputs!$B$13)*$B$7:$M$7)/Inputs!$B$13</f>
        <v/>
      </c>
      <c r="N8" s="16">
        <f>SUM(B8:M8)</f>
        <v/>
      </c>
    </row>
    <row r="9">
      <c r="A9" t="inlineStr">
        <is>
          <t>Principal repaid (after defaults)</t>
        </is>
      </c>
      <c r="B9" s="16">
        <f>B8*(1-Inputs!$B$14)</f>
        <v/>
      </c>
      <c r="C9" s="16">
        <f>C8*(1-Inputs!$B$14)</f>
        <v/>
      </c>
      <c r="D9" s="16">
        <f>D8*(1-Inputs!$B$14)</f>
        <v/>
      </c>
      <c r="E9" s="16">
        <f>E8*(1-Inputs!$B$14)</f>
        <v/>
      </c>
      <c r="F9" s="16">
        <f>F8*(1-Inputs!$B$14)</f>
        <v/>
      </c>
      <c r="G9" s="16">
        <f>G8*(1-Inputs!$B$14)</f>
        <v/>
      </c>
      <c r="H9" s="16">
        <f>H8*(1-Inputs!$B$14)</f>
        <v/>
      </c>
      <c r="I9" s="16">
        <f>I8*(1-Inputs!$B$14)</f>
        <v/>
      </c>
      <c r="J9" s="16">
        <f>J8*(1-Inputs!$B$14)</f>
        <v/>
      </c>
      <c r="K9" s="16">
        <f>K8*(1-Inputs!$B$14)</f>
        <v/>
      </c>
      <c r="L9" s="16">
        <f>L8*(1-Inputs!$B$14)</f>
        <v/>
      </c>
      <c r="M9" s="16">
        <f>M8*(1-Inputs!$B$14)</f>
        <v/>
      </c>
      <c r="N9" s="16">
        <f>SUM(B9:M9)</f>
        <v/>
      </c>
    </row>
    <row r="10">
      <c r="A10" t="inlineStr">
        <is>
          <t>Interest collected</t>
        </is>
      </c>
      <c r="B10" s="16">
        <f>B9*Inputs!$B$12/12*Inputs!$B$13</f>
        <v/>
      </c>
      <c r="C10" s="16">
        <f>C9*Inputs!$B$12/12*Inputs!$B$13</f>
        <v/>
      </c>
      <c r="D10" s="16">
        <f>D9*Inputs!$B$12/12*Inputs!$B$13</f>
        <v/>
      </c>
      <c r="E10" s="16">
        <f>E9*Inputs!$B$12/12*Inputs!$B$13</f>
        <v/>
      </c>
      <c r="F10" s="16">
        <f>F9*Inputs!$B$12/12*Inputs!$B$13</f>
        <v/>
      </c>
      <c r="G10" s="16">
        <f>G9*Inputs!$B$12/12*Inputs!$B$13</f>
        <v/>
      </c>
      <c r="H10" s="16">
        <f>H9*Inputs!$B$12/12*Inputs!$B$13</f>
        <v/>
      </c>
      <c r="I10" s="16">
        <f>I9*Inputs!$B$12/12*Inputs!$B$13</f>
        <v/>
      </c>
      <c r="J10" s="16">
        <f>J9*Inputs!$B$12/12*Inputs!$B$13</f>
        <v/>
      </c>
      <c r="K10" s="16">
        <f>K9*Inputs!$B$12/12*Inputs!$B$13</f>
        <v/>
      </c>
      <c r="L10" s="16">
        <f>L9*Inputs!$B$12/12*Inputs!$B$13</f>
        <v/>
      </c>
      <c r="M10" s="16">
        <f>M9*Inputs!$B$12/12*Inputs!$B$13</f>
        <v/>
      </c>
      <c r="N10" s="16">
        <f>SUM(B10:M10)</f>
        <v/>
      </c>
    </row>
    <row r="11">
      <c r="A11" t="inlineStr">
        <is>
          <t>Loans outstanding (end of month)</t>
        </is>
      </c>
      <c r="B11" s="16">
        <f>0+B7-B8</f>
        <v/>
      </c>
      <c r="C11" s="16">
        <f>B11+C7-C8</f>
        <v/>
      </c>
      <c r="D11" s="16">
        <f>C11+D7-D8</f>
        <v/>
      </c>
      <c r="E11" s="16">
        <f>D11+E7-E8</f>
        <v/>
      </c>
      <c r="F11" s="16">
        <f>E11+F7-F8</f>
        <v/>
      </c>
      <c r="G11" s="16">
        <f>F11+G7-G8</f>
        <v/>
      </c>
      <c r="H11" s="16">
        <f>G11+H7-H8</f>
        <v/>
      </c>
      <c r="I11" s="16">
        <f>H11+I7-I8</f>
        <v/>
      </c>
      <c r="J11" s="16">
        <f>I11+J7-J8</f>
        <v/>
      </c>
      <c r="K11" s="16">
        <f>J11+K7-K8</f>
        <v/>
      </c>
      <c r="L11" s="16">
        <f>K11+L7-L8</f>
        <v/>
      </c>
      <c r="M11" s="16">
        <f>L11+M7-M8</f>
        <v/>
      </c>
    </row>
    <row r="12">
      <c r="A12" t="inlineStr">
        <is>
          <t>Fund cash on hand (end of month)</t>
        </is>
      </c>
      <c r="B12" s="16">
        <f>Inputs!$B$9-B7+B9+B10*Inputs!$B$16</f>
        <v/>
      </c>
      <c r="C12" s="16">
        <f>B12-C7+C9+C10*Inputs!$B$16</f>
        <v/>
      </c>
      <c r="D12" s="16">
        <f>C12-D7+D9+D10*Inputs!$B$16</f>
        <v/>
      </c>
      <c r="E12" s="16">
        <f>D12-E7+E9+E10*Inputs!$B$16</f>
        <v/>
      </c>
      <c r="F12" s="16">
        <f>E12-F7+F9+F10*Inputs!$B$16</f>
        <v/>
      </c>
      <c r="G12" s="16">
        <f>F12-G7+G9+G10*Inputs!$B$16</f>
        <v/>
      </c>
      <c r="H12" s="16">
        <f>G12-H7+H9+H10*Inputs!$B$16</f>
        <v/>
      </c>
      <c r="I12" s="16">
        <f>H12-I7+I9+I10*Inputs!$B$16</f>
        <v/>
      </c>
      <c r="J12" s="16">
        <f>I12-J7+J9+J10*Inputs!$B$16</f>
        <v/>
      </c>
      <c r="K12" s="16">
        <f>J12-K7+K9+K10*Inputs!$B$16</f>
        <v/>
      </c>
      <c r="L12" s="16">
        <f>K12-L7+L9+L10*Inputs!$B$16</f>
        <v/>
      </c>
      <c r="M12" s="16">
        <f>L12-M7+M9+M10*Inputs!$B$16</f>
        <v/>
      </c>
    </row>
    <row r="13">
      <c r="A13" s="3" t="inlineStr">
        <is>
          <t>Warning: loan still running after month 12</t>
        </is>
      </c>
      <c r="B13" s="3">
        <f>IF(SUMPRODUCT(($B$5:$M$5+Inputs!$B$13&gt;12)*($B$7:$M$7))&gt;0,"YES - some loans end after the cycle. Move disbursement earlier or shorten the term.","No - all loans end within the cycle")</f>
        <v/>
      </c>
    </row>
    <row r="15">
      <c r="A15" s="3" t="inlineStr">
        <is>
          <t>Latest month a loan can go out and still be repaid by month 12:</t>
        </is>
      </c>
      <c r="B15" s="3">
        <f>12-Inputs!$B$13</f>
        <v/>
      </c>
    </row>
    <row r="16">
      <c r="A16" s="3" t="inlineStr">
        <is>
          <t>Cash on hand at end of month 12 (should equal the corpus if restored):</t>
        </is>
      </c>
      <c r="B16" s="20">
        <f>M12</f>
        <v/>
      </c>
    </row>
    <row r="17">
      <c r="A17" s="3" t="inlineStr">
        <is>
          <t>Check: % disbursed adds to 100%</t>
        </is>
      </c>
      <c r="B17" s="3">
        <f>IF(ABS(N6-1)&lt;0.0001,"OK","ERROR: adjust row 6")</f>
        <v/>
      </c>
    </row>
    <row r="19">
      <c r="A19" t="inlineStr">
        <is>
          <t>Note: Fund cash counts principal repaid plus the default budget share of interest. Other interest shares go to lenders, TAMISEMI, region and LGA.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Glossary</t>
        </is>
      </c>
    </row>
    <row r="2">
      <c r="A2" s="2" t="inlineStr">
        <is>
          <t>Acronyms and terms used in this model.</t>
        </is>
      </c>
    </row>
    <row r="4">
      <c r="A4" s="4" t="inlineStr">
        <is>
          <t>Term</t>
        </is>
      </c>
      <c r="B4" s="4" t="inlineStr">
        <is>
          <t>Meaning</t>
        </is>
      </c>
    </row>
    <row r="5">
      <c r="A5" s="3" t="inlineStr">
        <is>
          <t>Advance</t>
        </is>
      </c>
      <c r="B5" t="inlineStr">
        <is>
          <t>Money TAMISEMI sends a lender ahead of lending, based on the CMG pool allocated to that lender.</t>
        </is>
      </c>
    </row>
    <row r="6">
      <c r="A6" s="3" t="inlineStr">
        <is>
          <t>Allocation</t>
        </is>
      </c>
      <c r="B6" t="inlineStr">
        <is>
          <t>The share of the lending corpus given to a district, based on its loan demand.</t>
        </is>
      </c>
    </row>
    <row r="7">
      <c r="A7" s="3" t="inlineStr">
        <is>
          <t>Annual cycle</t>
        </is>
      </c>
      <c r="B7" t="inlineStr">
        <is>
          <t>The CMG's savings year. Loans must be repaid before the share-out at the end.</t>
        </is>
      </c>
    </row>
    <row r="8">
      <c r="A8" s="3" t="inlineStr">
        <is>
          <t>Break-even default rate</t>
        </is>
      </c>
      <c r="B8" t="inlineStr">
        <is>
          <t>The highest default rate the default budget can cover and still restore the corpus.</t>
        </is>
      </c>
    </row>
    <row r="9">
      <c r="A9" s="3" t="inlineStr">
        <is>
          <t>CMG</t>
        </is>
      </c>
      <c r="B9" t="inlineStr">
        <is>
          <t>Community Microfinance Group: a savings group whose members save and lend to each other.</t>
        </is>
      </c>
    </row>
    <row r="10">
      <c r="A10" s="3" t="inlineStr">
        <is>
          <t>Corpus</t>
        </is>
      </c>
      <c r="B10" t="inlineStr">
        <is>
          <t>The pool of money available to lend ($24m less the $4m set aside for incentives).</t>
        </is>
      </c>
    </row>
    <row r="11">
      <c r="A11" s="3" t="inlineStr">
        <is>
          <t>Default</t>
        </is>
      </c>
      <c r="B11" t="inlineStr">
        <is>
          <t>A loan, or part of a loan, that is not repaid.</t>
        </is>
      </c>
    </row>
    <row r="12">
      <c r="A12" s="3" t="inlineStr">
        <is>
          <t>Default budget / loss reserve</t>
        </is>
      </c>
      <c r="B12" t="inlineStr">
        <is>
          <t>The share of interest set aside to cover defaults.</t>
        </is>
      </c>
    </row>
    <row r="13">
      <c r="A13" s="3" t="inlineStr">
        <is>
          <t>Demand</t>
        </is>
      </c>
      <c r="B13" t="inlineStr">
        <is>
          <t>Number of CMGs x loan per CMG, before any scaling down.</t>
        </is>
      </c>
    </row>
    <row r="14">
      <c r="A14" s="3" t="inlineStr">
        <is>
          <t>Discount</t>
        </is>
      </c>
      <c r="B14" t="inlineStr">
        <is>
          <t>A share of interest given back or kept to reward a party (e.g. lender discount).</t>
        </is>
      </c>
    </row>
    <row r="15">
      <c r="A15" s="3" t="inlineStr">
        <is>
          <t>Flat interest</t>
        </is>
      </c>
      <c r="B15" t="inlineStr">
        <is>
          <t>Interest worked out on the full loan amount for the whole term, not on the falling balance.</t>
        </is>
      </c>
    </row>
    <row r="16">
      <c r="A16" s="3" t="inlineStr">
        <is>
          <t>Incentive</t>
        </is>
      </c>
      <c r="B16" t="inlineStr">
        <is>
          <t>A payment to reward good results (lenders: lending well; CMGs: on-time repayment).</t>
        </is>
      </c>
    </row>
    <row r="17">
      <c r="A17" s="3" t="inlineStr">
        <is>
          <t>LGA</t>
        </is>
      </c>
      <c r="B17" t="inlineStr">
        <is>
          <t>Local Government Authority: the district or council.</t>
        </is>
      </c>
    </row>
    <row r="18">
      <c r="A18" s="3" t="inlineStr">
        <is>
          <t>Loan:Savings ratio</t>
        </is>
      </c>
      <c r="B18" t="inlineStr">
        <is>
          <t>Loan amount divided by the CMG's savings. Capped by the maximum ratio input.</t>
        </is>
      </c>
    </row>
    <row r="19">
      <c r="A19" s="3" t="inlineStr">
        <is>
          <t>Portfolio default rate</t>
        </is>
      </c>
      <c r="B19" t="inlineStr">
        <is>
          <t>Defaulted principal as a % of all loans made.</t>
        </is>
      </c>
    </row>
    <row r="20">
      <c r="A20" s="3" t="inlineStr">
        <is>
          <t>Principal</t>
        </is>
      </c>
      <c r="B20" t="inlineStr">
        <is>
          <t>The amount lent, not counting interest.</t>
        </is>
      </c>
    </row>
    <row r="21">
      <c r="A21" s="3" t="inlineStr">
        <is>
          <t>Revolving fund</t>
        </is>
      </c>
      <c r="B21" t="inlineStr">
        <is>
          <t>A fund where repayments are lent out again. Not yet in v0.1.</t>
        </is>
      </c>
    </row>
    <row r="22">
      <c r="A22" s="3" t="inlineStr">
        <is>
          <t>Scale factor</t>
        </is>
      </c>
      <c r="B22" t="inlineStr">
        <is>
          <t>The % of demand that can be met when demand is more than the corpus.</t>
        </is>
      </c>
    </row>
    <row r="23">
      <c r="A23" s="3" t="inlineStr">
        <is>
          <t>Share-out</t>
        </is>
      </c>
      <c r="B23" t="inlineStr">
        <is>
          <t>When the CMG shares its savings and profits among members at the end of the cycle.</t>
        </is>
      </c>
    </row>
    <row r="24">
      <c r="A24" s="3" t="inlineStr">
        <is>
          <t>TAMISEMI</t>
        </is>
      </c>
      <c r="B24" t="inlineStr">
        <is>
          <t>President's Office - Regional Administration and Local Government (Tanzania). Funds PAMOJA.</t>
        </is>
      </c>
    </row>
    <row r="25">
      <c r="A25" s="3" t="inlineStr">
        <is>
          <t>TZS / USD</t>
        </is>
      </c>
      <c r="B25" t="inlineStr">
        <is>
          <t>Tanzanian shilling / United States dollar.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2026-09-27T11:33:42Z</dcterms:created>
  <dcterms:modified xsi:type="dcterms:W3CDTF">2026-09-27T11:33:42Z</dcterms:modified>
</cp:coreProperties>
</file>