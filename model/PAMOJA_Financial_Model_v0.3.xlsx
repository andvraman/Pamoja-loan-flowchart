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Inputs" sheetId="2" state="visible" r:id="rId2"/>
    <sheet name="Districts" sheetId="3" state="visible" r:id="rId3"/>
    <sheet name="Fund flow" sheetId="4" state="visible" r:id="rId4"/>
    <sheet name="Monthly cycle" sheetId="5" state="visible" r:id="rId5"/>
    <sheet name="Open questions" sheetId="6" state="visible" r:id="rId6"/>
    <sheet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[Red]-&quot;$&quot;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C5A3F"/>
      <sz val="14"/>
    </font>
    <font>
      <i val="1"/>
      <color rgb="005B6B60"/>
    </font>
    <font>
      <b val="1"/>
    </font>
    <font>
      <b val="1"/>
      <color rgb="00FFFFFF"/>
    </font>
    <font>
      <color rgb="000000FF"/>
    </font>
    <font>
      <i val="1"/>
      <color rgb="008A978C"/>
    </font>
  </fonts>
  <fills count="6">
    <fill>
      <patternFill/>
    </fill>
    <fill>
      <patternFill patternType="gray125"/>
    </fill>
    <fill>
      <patternFill patternType="solid">
        <fgColor rgb="001C5A3F"/>
      </patternFill>
    </fill>
    <fill>
      <patternFill patternType="solid">
        <fgColor rgb="00DCEBE1"/>
      </patternFill>
    </fill>
    <fill>
      <patternFill patternType="solid">
        <fgColor rgb="00FFF2CC"/>
      </patternFill>
    </fill>
    <fill>
      <patternFill patternType="solid">
        <fgColor rgb="00EEEEEE"/>
      </patternFill>
    </fill>
  </fills>
  <borders count="3">
    <border>
      <left/>
      <right/>
      <top/>
      <bottom/>
      <diagonal/>
    </border>
    <border>
      <left style="thin">
        <color rgb="00C6CDBE"/>
      </left>
      <right style="thin">
        <color rgb="00C6CDBE"/>
      </right>
      <top style="thin">
        <color rgb="00C6CDBE"/>
      </top>
      <bottom style="thin">
        <color rgb="00C6CDBE"/>
      </bottom>
    </border>
    <border>
      <right style="thick">
        <color rgb="001C5A3F"/>
      </right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3" borderId="0" pivotButton="0" quotePrefix="0" xfId="0"/>
    <xf numFmtId="0" fontId="0" fillId="3" borderId="0" pivotButton="0" quotePrefix="0" xfId="0"/>
    <xf numFmtId="164" fontId="5" fillId="4" borderId="1" pivotButton="0" quotePrefix="0" xfId="0"/>
    <xf numFmtId="164" fontId="3" fillId="0" borderId="1" pivotButton="0" quotePrefix="0" xfId="0"/>
    <xf numFmtId="2" fontId="5" fillId="4" borderId="1" pivotButton="0" quotePrefix="0" xfId="0"/>
    <xf numFmtId="165" fontId="5" fillId="4" borderId="1" pivotButton="0" quotePrefix="0" xfId="0"/>
    <xf numFmtId="1" fontId="5" fillId="4" borderId="1" pivotButton="0" quotePrefix="0" xfId="0"/>
    <xf numFmtId="49" fontId="3" fillId="0" borderId="1" pivotButton="0" quotePrefix="0" xfId="0"/>
    <xf numFmtId="1" fontId="3" fillId="0" borderId="1" pivotButton="0" quotePrefix="0" xfId="0"/>
    <xf numFmtId="165" fontId="3" fillId="0" borderId="1" pivotButton="0" quotePrefix="0" xfId="0"/>
    <xf numFmtId="0" fontId="0" fillId="4" borderId="0" pivotButton="0" quotePrefix="0" xfId="0"/>
    <xf numFmtId="3" fontId="5" fillId="4" borderId="1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2" fontId="3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49" fontId="0" fillId="0" borderId="1" pivotButton="0" quotePrefix="0" xfId="0"/>
    <xf numFmtId="1" fontId="0" fillId="0" borderId="1" pivotButton="0" quotePrefix="0" xfId="0"/>
    <xf numFmtId="0" fontId="3" fillId="0" borderId="2" pivotButton="0" quotePrefix="0" xfId="0"/>
    <xf numFmtId="0" fontId="0" fillId="0" borderId="2" pivotButton="0" quotePrefix="0" xfId="0"/>
    <xf numFmtId="165" fontId="5" fillId="4" borderId="2" pivotButton="0" quotePrefix="0" xfId="0"/>
    <xf numFmtId="165" fontId="0" fillId="5" borderId="0" pivotButton="0" quotePrefix="0" xfId="0"/>
    <xf numFmtId="164" fontId="0" fillId="0" borderId="2" pivotButton="0" quotePrefix="0" xfId="0"/>
    <xf numFmtId="1" fontId="3" fillId="0" borderId="0" pivotButton="0" quotePrefix="0" xfId="0"/>
    <xf numFmtId="49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Year 1: money not lent, repaid, and interest earned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'Fund flow'!$F$33:$F$35</f>
            </numRef>
          </cat>
          <val>
            <numRef>
              <f>'Fund flow'!$G$33:$G$35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numFmt formatCode="&quot;$&quot;#,##0;[Red]-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PAMOJA simplified financial model - v0.3 (draft)</t>
        </is>
      </c>
    </row>
    <row r="2">
      <c r="A2" s="2" t="inlineStr">
        <is>
          <t>How $24m flows TAMISEMI -&gt; Lenders -&gt; CMGs as loans, and back as repayments.</t>
        </is>
      </c>
    </row>
    <row r="4">
      <c r="A4" t="inlineStr"/>
    </row>
    <row r="5">
      <c r="A5" s="3" t="inlineStr">
        <is>
          <t>HOW TO USE</t>
        </is>
      </c>
    </row>
    <row r="6">
      <c r="A6" t="inlineStr">
        <is>
          <t>1. Change the yellow cells with blue numbers only. Everything else is a formula.</t>
        </is>
      </c>
    </row>
    <row r="7">
      <c r="A7" t="inlineStr">
        <is>
          <t>2. Inputs: fund size, lending rules, lending timing and the split of interest.</t>
        </is>
      </c>
    </row>
    <row r="8">
      <c r="A8" t="inlineStr">
        <is>
          <t>3. Districts: CMG numbers, savings and loan size per LGA.</t>
        </is>
      </c>
    </row>
    <row r="9">
      <c r="A9" t="inlineStr">
        <is>
          <t>4. Monthly cycle: when loans go out and come back over 24 months (year 1 lending, year 2 run-off).</t>
        </is>
      </c>
    </row>
    <row r="10">
      <c r="A10" t="inlineStr">
        <is>
          <t>5. Fund flow: totals for all loans made in the year, with a check that the corpus is restored.</t>
        </is>
      </c>
    </row>
    <row r="11">
      <c r="A11" t="inlineStr">
        <is>
          <t>6. Open questions: things to settle. Glossary: acronyms and terms.</t>
        </is>
      </c>
    </row>
    <row r="12">
      <c r="A12" t="inlineStr"/>
    </row>
    <row r="13">
      <c r="A13" s="3" t="inlineStr">
        <is>
          <t>IMPORTANT</t>
        </is>
      </c>
    </row>
    <row r="14">
      <c r="A14" t="inlineStr">
        <is>
          <t>- All district data and rates are DUMMY placeholders. Replace them with real figures.</t>
        </is>
      </c>
    </row>
    <row r="15">
      <c r="A15" t="inlineStr">
        <is>
          <t>- The split of interest is a first guess to confirm.</t>
        </is>
      </c>
    </row>
    <row r="16">
      <c r="A16" t="inlineStr"/>
    </row>
    <row r="17">
      <c r="A17" t="inlineStr">
        <is>
          <t>CHANGES IN v0.2</t>
        </is>
      </c>
    </row>
    <row r="18">
      <c r="A18" t="inlineStr">
        <is>
          <t>- Lender discount removed. The lender keeps the margin (what is left after the other shares).</t>
        </is>
      </c>
    </row>
    <row r="19">
      <c r="A19" t="inlineStr">
        <is>
          <t>- Lenders can make new loans in any month of the year, up to a last month you choose.</t>
        </is>
      </c>
    </row>
    <row r="20">
      <c r="A20" t="inlineStr">
        <is>
          <t>- Loan term can be up to 12 months (maximum tenure is an input).</t>
        </is>
      </c>
    </row>
    <row r="21">
      <c r="A21" t="inlineStr">
        <is>
          <t>- Repayments can be lent out again (re-lending %, set to 0% to switch off).</t>
        </is>
      </c>
    </row>
    <row r="22">
      <c r="A22" t="inlineStr">
        <is>
          <t>- Monthly sheet runs 24 months so loans made late in year 1 can finish in year 2.</t>
        </is>
      </c>
    </row>
    <row r="23">
      <c r="A23" t="inlineStr">
        <is>
          <t>- Year-end snapshot: cash back in the fund vs money still out on loan at month 12.</t>
        </is>
      </c>
    </row>
    <row r="24">
      <c r="A24" t="inlineStr"/>
    </row>
    <row r="25">
      <c r="A25" t="inlineStr">
        <is>
          <t>CHANGES IN v0.3</t>
        </is>
      </c>
    </row>
    <row r="26">
      <c r="A26" t="inlineStr">
        <is>
          <t>- All independent inputs (Inputs + Districts) can now come from a config.json file,</t>
        </is>
      </c>
    </row>
    <row r="27">
      <c r="A27" t="inlineStr">
        <is>
          <t xml:space="preserve">  built by the 'PAMOJA Model Inputs' GUI page instead of typed into Excel.</t>
        </is>
      </c>
    </row>
    <row r="28">
      <c r="A28" t="inlineStr">
        <is>
          <t xml:space="preserve">  Run: python3 model/build_model.py config.json</t>
        </is>
      </c>
    </row>
    <row r="29">
      <c r="A29" t="inlineStr">
        <is>
          <t>- Fund flow now has a bar chart: money not lent, principal repaid, interest collected.</t>
        </is>
      </c>
    </row>
    <row r="30">
      <c r="A30" t="inlineStr"/>
    </row>
    <row r="31">
      <c r="A31" s="3" t="inlineStr">
        <is>
          <t>SIMPLE LOGIC</t>
        </is>
      </c>
    </row>
    <row r="32">
      <c r="A32" t="inlineStr">
        <is>
          <t>- Lending corpus = Total fund - Lender incentives - CMG incentives.</t>
        </is>
      </c>
    </row>
    <row r="33">
      <c r="A33" t="inlineStr">
        <is>
          <t>- Loan per CMG = the smaller of: average loan asked for, or savings x maximum Loan:Savings ratio.</t>
        </is>
      </c>
    </row>
    <row r="34">
      <c r="A34" t="inlineStr">
        <is>
          <t>- If total demand is more than the corpus, every district is scaled down by the same %.</t>
        </is>
      </c>
    </row>
    <row r="35">
      <c r="A35" t="inlineStr">
        <is>
          <t>- Loans are repaid in equal monthly instalments over the term, starting the month after the loan.</t>
        </is>
      </c>
    </row>
    <row r="36">
      <c r="A36" t="inlineStr">
        <is>
          <t>- Interest is flat: rate x loan x term, collected with each instalment.</t>
        </is>
      </c>
    </row>
    <row r="37">
      <c r="A37" t="inlineStr">
        <is>
          <t>- Defaults: the default rate is taken off every instalment (no principal or interest).</t>
        </is>
      </c>
    </row>
    <row r="38">
      <c r="A38" t="inlineStr">
        <is>
          <t>- Re-lending: a % of principal repaid in one month is lent out again the next month, up to the last lending month.</t>
        </is>
      </c>
    </row>
    <row r="39">
      <c r="A39" t="inlineStr">
        <is>
          <t>- The corpus is restored if the default budget taken from interest covers the defaulted principal.</t>
        </is>
      </c>
    </row>
    <row r="40">
      <c r="A40" t="inlineStr"/>
    </row>
    <row r="41">
      <c r="A41" s="3" t="inlineStr">
        <is>
          <t>KEY TRADE-OFF</t>
        </is>
      </c>
    </row>
    <row r="42">
      <c r="A42" t="inlineStr">
        <is>
          <t>- For all money to be back as CASH by month 12, the last loan must go out by month (12 - term).</t>
        </is>
      </c>
    </row>
    <row r="43">
      <c r="A43" t="inlineStr">
        <is>
          <t>- With a 12-month term, that means lending only in month 0 - so lending across the cycle means</t>
        </is>
      </c>
    </row>
    <row r="44">
      <c r="A44" t="inlineStr">
        <is>
          <t xml:space="preserve">  some of the corpus is still out on loan at year end. See question 6.</t>
        </is>
      </c>
    </row>
    <row r="45">
      <c r="A45" t="inlineStr"/>
    </row>
    <row r="46">
      <c r="A46" s="3" t="inlineStr">
        <is>
          <t>NOT YET IN THE MODEL</t>
        </is>
      </c>
    </row>
    <row r="47">
      <c r="A47" t="inlineStr">
        <is>
          <t>- Different terms per loan or district; staggered CMG cycles.</t>
        </is>
      </c>
    </row>
    <row r="48">
      <c r="A48" t="inlineStr">
        <is>
          <t>- Multiple lenders per LGA; region-level roll-up.</t>
        </is>
      </c>
    </row>
    <row r="49">
      <c r="A49" t="inlineStr">
        <is>
          <t>- Timing of incentive payments; LGA service fee formula; risk-share formula (Q12 in the flowchart).</t>
        </is>
      </c>
    </row>
    <row r="50">
      <c r="A50" t="inlineStr">
        <is>
          <t>- Exchange rate (TZS / USD) and inflation.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8" customWidth="1" min="3" max="3"/>
    <col width="58" customWidth="1" min="4" max="4"/>
  </cols>
  <sheetData>
    <row r="1">
      <c r="A1" s="1" t="inlineStr">
        <is>
          <t>Inputs</t>
        </is>
      </c>
    </row>
    <row r="2">
      <c r="A2" s="2" t="inlineStr">
        <is>
          <t>Yellow cells are inputs. Dummy values - replace with agreed figures.</t>
        </is>
      </c>
    </row>
    <row r="4">
      <c r="A4" s="4" t="inlineStr">
        <is>
          <t>Item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Note</t>
        </is>
      </c>
    </row>
    <row r="5">
      <c r="A5" s="5" t="inlineStr">
        <is>
          <t>FUND</t>
        </is>
      </c>
      <c r="B5" s="6" t="n"/>
      <c r="C5" s="6" t="n"/>
      <c r="D5" s="6" t="n"/>
    </row>
    <row r="6">
      <c r="A6" t="inlineStr">
        <is>
          <t>Total PAMOJA fund</t>
        </is>
      </c>
      <c r="B6" s="7" t="n">
        <v>24000000</v>
      </c>
      <c r="C6" t="inlineStr">
        <is>
          <t>USD</t>
        </is>
      </c>
      <c r="D6" t="inlineStr">
        <is>
          <t>From TAMISEMI</t>
        </is>
      </c>
    </row>
    <row r="7">
      <c r="A7" t="inlineStr">
        <is>
          <t>Lender incentives (set aside)</t>
        </is>
      </c>
      <c r="B7" s="7" t="n">
        <v>2000000</v>
      </c>
      <c r="C7" t="inlineStr">
        <is>
          <t>USD</t>
        </is>
      </c>
      <c r="D7" t="inlineStr">
        <is>
          <t>Not lent out</t>
        </is>
      </c>
    </row>
    <row r="8">
      <c r="A8" t="inlineStr">
        <is>
          <t>CMG incentives (set aside)</t>
        </is>
      </c>
      <c r="B8" s="7" t="n">
        <v>2000000</v>
      </c>
      <c r="C8" t="inlineStr">
        <is>
          <t>USD</t>
        </is>
      </c>
      <c r="D8" t="inlineStr">
        <is>
          <t>Not lent out</t>
        </is>
      </c>
    </row>
    <row r="9">
      <c r="A9" t="inlineStr">
        <is>
          <t>Lending corpus</t>
        </is>
      </c>
      <c r="B9" s="8">
        <f>B6-B7-B8</f>
        <v/>
      </c>
      <c r="C9" t="inlineStr">
        <is>
          <t>USD</t>
        </is>
      </c>
      <c r="D9" t="inlineStr">
        <is>
          <t>Money available to lend</t>
        </is>
      </c>
    </row>
    <row r="10">
      <c r="A10" s="5" t="inlineStr">
        <is>
          <t>LENDING RULES</t>
        </is>
      </c>
      <c r="B10" s="6" t="n"/>
      <c r="C10" s="6" t="n"/>
      <c r="D10" s="6" t="n"/>
    </row>
    <row r="11">
      <c r="A11" t="inlineStr">
        <is>
          <t>Maximum Loan:Savings ratio</t>
        </is>
      </c>
      <c r="B11" s="9" t="n">
        <v>0.5</v>
      </c>
      <c r="C11" t="inlineStr">
        <is>
          <t>x</t>
        </is>
      </c>
      <c r="D11" t="inlineStr">
        <is>
          <t>Loan must not exceed this x CMG savings</t>
        </is>
      </c>
    </row>
    <row r="12">
      <c r="A12" t="inlineStr">
        <is>
          <t>Interest rate (flat, per year)</t>
        </is>
      </c>
      <c r="B12" s="10" t="n">
        <v>0.18</v>
      </c>
      <c r="C12" t="inlineStr">
        <is>
          <t>%</t>
        </is>
      </c>
      <c r="D12" t="inlineStr">
        <is>
          <t>Placeholder; must be at or below TAMISEMI ceiling</t>
        </is>
      </c>
    </row>
    <row r="13">
      <c r="A13" t="inlineStr">
        <is>
          <t>Maximum loan tenure</t>
        </is>
      </c>
      <c r="B13" s="11" t="n">
        <v>12</v>
      </c>
      <c r="C13" t="inlineStr">
        <is>
          <t>months</t>
        </is>
      </c>
      <c r="D13" t="inlineStr">
        <is>
          <t>Policy limit</t>
        </is>
      </c>
    </row>
    <row r="14">
      <c r="A14" t="inlineStr">
        <is>
          <t>Loan term used in the model</t>
        </is>
      </c>
      <c r="B14" s="11" t="n">
        <v>6</v>
      </c>
      <c r="C14" t="inlineStr">
        <is>
          <t>months</t>
        </is>
      </c>
      <c r="D14" t="inlineStr">
        <is>
          <t>Must be 1 to the maximum tenure</t>
        </is>
      </c>
    </row>
    <row r="15">
      <c r="A15" t="inlineStr">
        <is>
          <t>Check: term within maximum</t>
        </is>
      </c>
      <c r="B15" s="12">
        <f>IF(AND(B14&gt;=1,B14&lt;=B13),"OK","ERROR: term above maximum tenure")</f>
        <v/>
      </c>
      <c r="C15" t="inlineStr"/>
      <c r="D15" t="inlineStr"/>
    </row>
    <row r="16">
      <c r="A16" t="inlineStr">
        <is>
          <t>Portfolio default rate (budget)</t>
        </is>
      </c>
      <c r="B16" s="10" t="n">
        <v>0.05</v>
      </c>
      <c r="C16" t="inlineStr">
        <is>
          <t>%</t>
        </is>
      </c>
      <c r="D16" t="inlineStr">
        <is>
          <t>% of principal lent that is not repaid</t>
        </is>
      </c>
    </row>
    <row r="17">
      <c r="A17" s="5" t="inlineStr">
        <is>
          <t>LENDING TIMING (across the cycle)</t>
        </is>
      </c>
      <c r="B17" s="6" t="n"/>
      <c r="C17" s="6" t="n"/>
      <c r="D17" s="6" t="n"/>
    </row>
    <row r="18">
      <c r="A18" t="inlineStr">
        <is>
          <t>Last month lenders can make new loans</t>
        </is>
      </c>
      <c r="B18" s="11" t="n">
        <v>12</v>
      </c>
      <c r="C18" t="inlineStr">
        <is>
          <t>month</t>
        </is>
      </c>
      <c r="D18" t="inlineStr">
        <is>
          <t>1 to 12. Spread of new loans is set on 'Monthly cycle'</t>
        </is>
      </c>
    </row>
    <row r="19">
      <c r="A19" t="inlineStr">
        <is>
          <t>% of principal repaid that is lent out again</t>
        </is>
      </c>
      <c r="B19" s="10" t="n">
        <v>0</v>
      </c>
      <c r="C19" t="inlineStr">
        <is>
          <t>%</t>
        </is>
      </c>
      <c r="D19" t="inlineStr">
        <is>
          <t>0% = no re-lending (see question 4)</t>
        </is>
      </c>
    </row>
    <row r="20">
      <c r="A20" t="inlineStr">
        <is>
          <t>Latest month to lend if all cash must be back by month 12</t>
        </is>
      </c>
      <c r="B20" s="13">
        <f>MAX(0,12-B14)</f>
        <v/>
      </c>
      <c r="C20" t="inlineStr">
        <is>
          <t>month</t>
        </is>
      </c>
      <c r="D20" t="inlineStr">
        <is>
          <t>0 means only at the very start of the year</t>
        </is>
      </c>
    </row>
    <row r="21">
      <c r="A21" s="5" t="inlineStr">
        <is>
          <t>SPLIT OF INTEREST COLLECTED</t>
        </is>
      </c>
      <c r="B21" s="6" t="n"/>
      <c r="C21" s="6" t="n"/>
      <c r="D21" s="6" t="n"/>
    </row>
    <row r="22">
      <c r="A22" t="inlineStr">
        <is>
          <t>Default budget (loss reserve)</t>
        </is>
      </c>
      <c r="B22" s="10" t="n">
        <v>0.3</v>
      </c>
      <c r="C22" t="inlineStr">
        <is>
          <t>%</t>
        </is>
      </c>
      <c r="D22" t="inlineStr">
        <is>
          <t>Returned to fund to cover defaults</t>
        </is>
      </c>
    </row>
    <row r="23">
      <c r="A23" t="inlineStr">
        <is>
          <t>TAMISEMI share</t>
        </is>
      </c>
      <c r="B23" s="10" t="n">
        <v>0.1</v>
      </c>
      <c r="C23" t="inlineStr">
        <is>
          <t>%</t>
        </is>
      </c>
      <c r="D23" t="inlineStr">
        <is>
          <t>Placeholder</t>
        </is>
      </c>
    </row>
    <row r="24">
      <c r="A24" t="inlineStr">
        <is>
          <t>Region share</t>
        </is>
      </c>
      <c r="B24" s="10" t="n">
        <v>0.05</v>
      </c>
      <c r="C24" t="inlineStr">
        <is>
          <t>%</t>
        </is>
      </c>
      <c r="D24" t="inlineStr">
        <is>
          <t>Placeholder</t>
        </is>
      </c>
    </row>
    <row r="25">
      <c r="A25" t="inlineStr">
        <is>
          <t>LGA share</t>
        </is>
      </c>
      <c r="B25" s="10" t="n">
        <v>0.05</v>
      </c>
      <c r="C25" t="inlineStr">
        <is>
          <t>%</t>
        </is>
      </c>
      <c r="D25" t="inlineStr">
        <is>
          <t>Placeholder</t>
        </is>
      </c>
    </row>
    <row r="26">
      <c r="A26" t="inlineStr">
        <is>
          <t>Lender margin (remainder)</t>
        </is>
      </c>
      <c r="B26" s="14">
        <f>1-SUM(B22:B25)</f>
        <v/>
      </c>
      <c r="C26" t="inlineStr">
        <is>
          <t>%</t>
        </is>
      </c>
      <c r="D26" t="inlineStr">
        <is>
          <t>What is left for the lender</t>
        </is>
      </c>
    </row>
    <row r="27">
      <c r="A27" t="inlineStr">
        <is>
          <t>Check: split adds to 100% or less</t>
        </is>
      </c>
      <c r="B27" s="12">
        <f>IF(B26&gt;=0,"OK","ERROR: over 100%")</f>
        <v/>
      </c>
      <c r="C27" t="inlineStr"/>
      <c r="D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Allocation by district (LGA)</t>
        </is>
      </c>
    </row>
    <row r="2">
      <c r="A2" s="2" t="inlineStr">
        <is>
          <t>Dummy data. Add real LGAs in the yellow cells; up to 20 rows. Allocates the first round of lending only.</t>
        </is>
      </c>
    </row>
    <row r="4" ht="45" customHeight="1">
      <c r="A4" s="4" t="inlineStr">
        <is>
          <t>District (LGA)</t>
        </is>
      </c>
      <c r="B4" s="4" t="inlineStr">
        <is>
          <t>Number of CMGs</t>
        </is>
      </c>
      <c r="C4" s="4" t="inlineStr">
        <is>
          <t>Average savings per CMG (USD)</t>
        </is>
      </c>
      <c r="D4" s="4" t="inlineStr">
        <is>
          <t>Average loan asked per CMG (USD)</t>
        </is>
      </c>
      <c r="E4" s="4" t="inlineStr">
        <is>
          <t>Loan cap per CMG = savings x ratio</t>
        </is>
      </c>
      <c r="F4" s="4" t="inlineStr">
        <is>
          <t>Loan per CMG (smaller of the two)</t>
        </is>
      </c>
      <c r="G4" s="4" t="inlineStr">
        <is>
          <t>Loan:Savings ratio used</t>
        </is>
      </c>
      <c r="H4" s="4" t="inlineStr">
        <is>
          <t>Demand (USD)</t>
        </is>
      </c>
      <c r="I4" s="4" t="inlineStr">
        <is>
          <t>Allocation (USD)</t>
        </is>
      </c>
      <c r="J4" s="4" t="inlineStr">
        <is>
          <t>Share of corpus</t>
        </is>
      </c>
    </row>
    <row r="5">
      <c r="A5" s="15" t="inlineStr">
        <is>
          <t>District A</t>
        </is>
      </c>
      <c r="B5" s="16" t="n">
        <v>2500</v>
      </c>
      <c r="C5" s="7" t="n">
        <v>4000</v>
      </c>
      <c r="D5" s="7" t="n">
        <v>2500</v>
      </c>
      <c r="E5" s="17">
        <f>IF(B5="","",C5*Inputs!$B$11)</f>
        <v/>
      </c>
      <c r="F5" s="17">
        <f>IF(B5="","",MIN(D5,E5))</f>
        <v/>
      </c>
      <c r="G5" s="18">
        <f>IF(B5="","",F5/C5)</f>
        <v/>
      </c>
      <c r="H5" s="17">
        <f>IF(B5="",0,B5*F5)</f>
        <v/>
      </c>
      <c r="I5" s="17">
        <f>IF(B5="",0,H5*$B$28)</f>
        <v/>
      </c>
      <c r="J5" s="19">
        <f>IF(B5="","",I5/Inputs!$B$9)</f>
        <v/>
      </c>
    </row>
    <row r="6">
      <c r="A6" s="15" t="inlineStr">
        <is>
          <t>District B</t>
        </is>
      </c>
      <c r="B6" s="16" t="n">
        <v>1800</v>
      </c>
      <c r="C6" s="7" t="n">
        <v>3000</v>
      </c>
      <c r="D6" s="7" t="n">
        <v>2000</v>
      </c>
      <c r="E6" s="17">
        <f>IF(B6="","",C6*Inputs!$B$11)</f>
        <v/>
      </c>
      <c r="F6" s="17">
        <f>IF(B6="","",MIN(D6,E6))</f>
        <v/>
      </c>
      <c r="G6" s="18">
        <f>IF(B6="","",F6/C6)</f>
        <v/>
      </c>
      <c r="H6" s="17">
        <f>IF(B6="",0,B6*F6)</f>
        <v/>
      </c>
      <c r="I6" s="17">
        <f>IF(B6="",0,H6*$B$28)</f>
        <v/>
      </c>
      <c r="J6" s="19">
        <f>IF(B6="","",I6/Inputs!$B$9)</f>
        <v/>
      </c>
    </row>
    <row r="7">
      <c r="A7" s="15" t="inlineStr">
        <is>
          <t>District C</t>
        </is>
      </c>
      <c r="B7" s="16" t="n">
        <v>3200</v>
      </c>
      <c r="C7" s="7" t="n">
        <v>5000</v>
      </c>
      <c r="D7" s="7" t="n">
        <v>3000</v>
      </c>
      <c r="E7" s="17">
        <f>IF(B7="","",C7*Inputs!$B$11)</f>
        <v/>
      </c>
      <c r="F7" s="17">
        <f>IF(B7="","",MIN(D7,E7))</f>
        <v/>
      </c>
      <c r="G7" s="18">
        <f>IF(B7="","",F7/C7)</f>
        <v/>
      </c>
      <c r="H7" s="17">
        <f>IF(B7="",0,B7*F7)</f>
        <v/>
      </c>
      <c r="I7" s="17">
        <f>IF(B7="",0,H7*$B$28)</f>
        <v/>
      </c>
      <c r="J7" s="19">
        <f>IF(B7="","",I7/Inputs!$B$9)</f>
        <v/>
      </c>
    </row>
    <row r="8">
      <c r="A8" s="15" t="inlineStr">
        <is>
          <t>District D</t>
        </is>
      </c>
      <c r="B8" s="16" t="n">
        <v>1500</v>
      </c>
      <c r="C8" s="7" t="n">
        <v>3500</v>
      </c>
      <c r="D8" s="7" t="n">
        <v>1500</v>
      </c>
      <c r="E8" s="17">
        <f>IF(B8="","",C8*Inputs!$B$11)</f>
        <v/>
      </c>
      <c r="F8" s="17">
        <f>IF(B8="","",MIN(D8,E8))</f>
        <v/>
      </c>
      <c r="G8" s="18">
        <f>IF(B8="","",F8/C8)</f>
        <v/>
      </c>
      <c r="H8" s="17">
        <f>IF(B8="",0,B8*F8)</f>
        <v/>
      </c>
      <c r="I8" s="17">
        <f>IF(B8="",0,H8*$B$28)</f>
        <v/>
      </c>
      <c r="J8" s="19">
        <f>IF(B8="","",I8/Inputs!$B$9)</f>
        <v/>
      </c>
    </row>
    <row r="9">
      <c r="A9" s="15" t="inlineStr">
        <is>
          <t>District E</t>
        </is>
      </c>
      <c r="B9" s="16" t="n">
        <v>2000</v>
      </c>
      <c r="C9" s="7" t="n">
        <v>4500</v>
      </c>
      <c r="D9" s="7" t="n">
        <v>2500</v>
      </c>
      <c r="E9" s="17">
        <f>IF(B9="","",C9*Inputs!$B$11)</f>
        <v/>
      </c>
      <c r="F9" s="17">
        <f>IF(B9="","",MIN(D9,E9))</f>
        <v/>
      </c>
      <c r="G9" s="18">
        <f>IF(B9="","",F9/C9)</f>
        <v/>
      </c>
      <c r="H9" s="17">
        <f>IF(B9="",0,B9*F9)</f>
        <v/>
      </c>
      <c r="I9" s="17">
        <f>IF(B9="",0,H9*$B$28)</f>
        <v/>
      </c>
      <c r="J9" s="19">
        <f>IF(B9="","",I9/Inputs!$B$9)</f>
        <v/>
      </c>
    </row>
    <row r="10">
      <c r="A10" s="15" t="n"/>
      <c r="B10" s="16" t="n"/>
      <c r="C10" s="7" t="n"/>
      <c r="D10" s="7" t="n"/>
      <c r="E10" s="17">
        <f>IF(B10="","",C10*Inputs!$B$11)</f>
        <v/>
      </c>
      <c r="F10" s="17">
        <f>IF(B10="","",MIN(D10,E10))</f>
        <v/>
      </c>
      <c r="G10" s="18">
        <f>IF(B10="","",F10/C10)</f>
        <v/>
      </c>
      <c r="H10" s="17">
        <f>IF(B10="",0,B10*F10)</f>
        <v/>
      </c>
      <c r="I10" s="17">
        <f>IF(B10="",0,H10*$B$28)</f>
        <v/>
      </c>
      <c r="J10" s="19">
        <f>IF(B10="","",I10/Inputs!$B$9)</f>
        <v/>
      </c>
    </row>
    <row r="11">
      <c r="A11" s="15" t="n"/>
      <c r="B11" s="16" t="n"/>
      <c r="C11" s="7" t="n"/>
      <c r="D11" s="7" t="n"/>
      <c r="E11" s="17">
        <f>IF(B11="","",C11*Inputs!$B$11)</f>
        <v/>
      </c>
      <c r="F11" s="17">
        <f>IF(B11="","",MIN(D11,E11))</f>
        <v/>
      </c>
      <c r="G11" s="18">
        <f>IF(B11="","",F11/C11)</f>
        <v/>
      </c>
      <c r="H11" s="17">
        <f>IF(B11="",0,B11*F11)</f>
        <v/>
      </c>
      <c r="I11" s="17">
        <f>IF(B11="",0,H11*$B$28)</f>
        <v/>
      </c>
      <c r="J11" s="19">
        <f>IF(B11="","",I11/Inputs!$B$9)</f>
        <v/>
      </c>
    </row>
    <row r="12">
      <c r="A12" s="15" t="n"/>
      <c r="B12" s="16" t="n"/>
      <c r="C12" s="7" t="n"/>
      <c r="D12" s="7" t="n"/>
      <c r="E12" s="17">
        <f>IF(B12="","",C12*Inputs!$B$11)</f>
        <v/>
      </c>
      <c r="F12" s="17">
        <f>IF(B12="","",MIN(D12,E12))</f>
        <v/>
      </c>
      <c r="G12" s="18">
        <f>IF(B12="","",F12/C12)</f>
        <v/>
      </c>
      <c r="H12" s="17">
        <f>IF(B12="",0,B12*F12)</f>
        <v/>
      </c>
      <c r="I12" s="17">
        <f>IF(B12="",0,H12*$B$28)</f>
        <v/>
      </c>
      <c r="J12" s="19">
        <f>IF(B12="","",I12/Inputs!$B$9)</f>
        <v/>
      </c>
    </row>
    <row r="13">
      <c r="A13" s="15" t="n"/>
      <c r="B13" s="16" t="n"/>
      <c r="C13" s="7" t="n"/>
      <c r="D13" s="7" t="n"/>
      <c r="E13" s="17">
        <f>IF(B13="","",C13*Inputs!$B$11)</f>
        <v/>
      </c>
      <c r="F13" s="17">
        <f>IF(B13="","",MIN(D13,E13))</f>
        <v/>
      </c>
      <c r="G13" s="18">
        <f>IF(B13="","",F13/C13)</f>
        <v/>
      </c>
      <c r="H13" s="17">
        <f>IF(B13="",0,B13*F13)</f>
        <v/>
      </c>
      <c r="I13" s="17">
        <f>IF(B13="",0,H13*$B$28)</f>
        <v/>
      </c>
      <c r="J13" s="19">
        <f>IF(B13="","",I13/Inputs!$B$9)</f>
        <v/>
      </c>
    </row>
    <row r="14">
      <c r="A14" s="15" t="n"/>
      <c r="B14" s="16" t="n"/>
      <c r="C14" s="7" t="n"/>
      <c r="D14" s="7" t="n"/>
      <c r="E14" s="17">
        <f>IF(B14="","",C14*Inputs!$B$11)</f>
        <v/>
      </c>
      <c r="F14" s="17">
        <f>IF(B14="","",MIN(D14,E14))</f>
        <v/>
      </c>
      <c r="G14" s="18">
        <f>IF(B14="","",F14/C14)</f>
        <v/>
      </c>
      <c r="H14" s="17">
        <f>IF(B14="",0,B14*F14)</f>
        <v/>
      </c>
      <c r="I14" s="17">
        <f>IF(B14="",0,H14*$B$28)</f>
        <v/>
      </c>
      <c r="J14" s="19">
        <f>IF(B14="","",I14/Inputs!$B$9)</f>
        <v/>
      </c>
    </row>
    <row r="15">
      <c r="A15" s="15" t="n"/>
      <c r="B15" s="16" t="n"/>
      <c r="C15" s="7" t="n"/>
      <c r="D15" s="7" t="n"/>
      <c r="E15" s="17">
        <f>IF(B15="","",C15*Inputs!$B$11)</f>
        <v/>
      </c>
      <c r="F15" s="17">
        <f>IF(B15="","",MIN(D15,E15))</f>
        <v/>
      </c>
      <c r="G15" s="18">
        <f>IF(B15="","",F15/C15)</f>
        <v/>
      </c>
      <c r="H15" s="17">
        <f>IF(B15="",0,B15*F15)</f>
        <v/>
      </c>
      <c r="I15" s="17">
        <f>IF(B15="",0,H15*$B$28)</f>
        <v/>
      </c>
      <c r="J15" s="19">
        <f>IF(B15="","",I15/Inputs!$B$9)</f>
        <v/>
      </c>
    </row>
    <row r="16">
      <c r="A16" s="15" t="n"/>
      <c r="B16" s="16" t="n"/>
      <c r="C16" s="7" t="n"/>
      <c r="D16" s="7" t="n"/>
      <c r="E16" s="17">
        <f>IF(B16="","",C16*Inputs!$B$11)</f>
        <v/>
      </c>
      <c r="F16" s="17">
        <f>IF(B16="","",MIN(D16,E16))</f>
        <v/>
      </c>
      <c r="G16" s="18">
        <f>IF(B16="","",F16/C16)</f>
        <v/>
      </c>
      <c r="H16" s="17">
        <f>IF(B16="",0,B16*F16)</f>
        <v/>
      </c>
      <c r="I16" s="17">
        <f>IF(B16="",0,H16*$B$28)</f>
        <v/>
      </c>
      <c r="J16" s="19">
        <f>IF(B16="","",I16/Inputs!$B$9)</f>
        <v/>
      </c>
    </row>
    <row r="17">
      <c r="A17" s="15" t="n"/>
      <c r="B17" s="16" t="n"/>
      <c r="C17" s="7" t="n"/>
      <c r="D17" s="7" t="n"/>
      <c r="E17" s="17">
        <f>IF(B17="","",C17*Inputs!$B$11)</f>
        <v/>
      </c>
      <c r="F17" s="17">
        <f>IF(B17="","",MIN(D17,E17))</f>
        <v/>
      </c>
      <c r="G17" s="18">
        <f>IF(B17="","",F17/C17)</f>
        <v/>
      </c>
      <c r="H17" s="17">
        <f>IF(B17="",0,B17*F17)</f>
        <v/>
      </c>
      <c r="I17" s="17">
        <f>IF(B17="",0,H17*$B$28)</f>
        <v/>
      </c>
      <c r="J17" s="19">
        <f>IF(B17="","",I17/Inputs!$B$9)</f>
        <v/>
      </c>
    </row>
    <row r="18">
      <c r="A18" s="15" t="n"/>
      <c r="B18" s="16" t="n"/>
      <c r="C18" s="7" t="n"/>
      <c r="D18" s="7" t="n"/>
      <c r="E18" s="17">
        <f>IF(B18="","",C18*Inputs!$B$11)</f>
        <v/>
      </c>
      <c r="F18" s="17">
        <f>IF(B18="","",MIN(D18,E18))</f>
        <v/>
      </c>
      <c r="G18" s="18">
        <f>IF(B18="","",F18/C18)</f>
        <v/>
      </c>
      <c r="H18" s="17">
        <f>IF(B18="",0,B18*F18)</f>
        <v/>
      </c>
      <c r="I18" s="17">
        <f>IF(B18="",0,H18*$B$28)</f>
        <v/>
      </c>
      <c r="J18" s="19">
        <f>IF(B18="","",I18/Inputs!$B$9)</f>
        <v/>
      </c>
    </row>
    <row r="19">
      <c r="A19" s="15" t="n"/>
      <c r="B19" s="16" t="n"/>
      <c r="C19" s="7" t="n"/>
      <c r="D19" s="7" t="n"/>
      <c r="E19" s="17">
        <f>IF(B19="","",C19*Inputs!$B$11)</f>
        <v/>
      </c>
      <c r="F19" s="17">
        <f>IF(B19="","",MIN(D19,E19))</f>
        <v/>
      </c>
      <c r="G19" s="18">
        <f>IF(B19="","",F19/C19)</f>
        <v/>
      </c>
      <c r="H19" s="17">
        <f>IF(B19="",0,B19*F19)</f>
        <v/>
      </c>
      <c r="I19" s="17">
        <f>IF(B19="",0,H19*$B$28)</f>
        <v/>
      </c>
      <c r="J19" s="19">
        <f>IF(B19="","",I19/Inputs!$B$9)</f>
        <v/>
      </c>
    </row>
    <row r="20">
      <c r="A20" s="15" t="n"/>
      <c r="B20" s="16" t="n"/>
      <c r="C20" s="7" t="n"/>
      <c r="D20" s="7" t="n"/>
      <c r="E20" s="17">
        <f>IF(B20="","",C20*Inputs!$B$11)</f>
        <v/>
      </c>
      <c r="F20" s="17">
        <f>IF(B20="","",MIN(D20,E20))</f>
        <v/>
      </c>
      <c r="G20" s="18">
        <f>IF(B20="","",F20/C20)</f>
        <v/>
      </c>
      <c r="H20" s="17">
        <f>IF(B20="",0,B20*F20)</f>
        <v/>
      </c>
      <c r="I20" s="17">
        <f>IF(B20="",0,H20*$B$28)</f>
        <v/>
      </c>
      <c r="J20" s="19">
        <f>IF(B20="","",I20/Inputs!$B$9)</f>
        <v/>
      </c>
    </row>
    <row r="21">
      <c r="A21" s="15" t="n"/>
      <c r="B21" s="16" t="n"/>
      <c r="C21" s="7" t="n"/>
      <c r="D21" s="7" t="n"/>
      <c r="E21" s="17">
        <f>IF(B21="","",C21*Inputs!$B$11)</f>
        <v/>
      </c>
      <c r="F21" s="17">
        <f>IF(B21="","",MIN(D21,E21))</f>
        <v/>
      </c>
      <c r="G21" s="18">
        <f>IF(B21="","",F21/C21)</f>
        <v/>
      </c>
      <c r="H21" s="17">
        <f>IF(B21="",0,B21*F21)</f>
        <v/>
      </c>
      <c r="I21" s="17">
        <f>IF(B21="",0,H21*$B$28)</f>
        <v/>
      </c>
      <c r="J21" s="19">
        <f>IF(B21="","",I21/Inputs!$B$9)</f>
        <v/>
      </c>
    </row>
    <row r="22">
      <c r="A22" s="15" t="n"/>
      <c r="B22" s="16" t="n"/>
      <c r="C22" s="7" t="n"/>
      <c r="D22" s="7" t="n"/>
      <c r="E22" s="17">
        <f>IF(B22="","",C22*Inputs!$B$11)</f>
        <v/>
      </c>
      <c r="F22" s="17">
        <f>IF(B22="","",MIN(D22,E22))</f>
        <v/>
      </c>
      <c r="G22" s="18">
        <f>IF(B22="","",F22/C22)</f>
        <v/>
      </c>
      <c r="H22" s="17">
        <f>IF(B22="",0,B22*F22)</f>
        <v/>
      </c>
      <c r="I22" s="17">
        <f>IF(B22="",0,H22*$B$28)</f>
        <v/>
      </c>
      <c r="J22" s="19">
        <f>IF(B22="","",I22/Inputs!$B$9)</f>
        <v/>
      </c>
    </row>
    <row r="23">
      <c r="A23" s="15" t="n"/>
      <c r="B23" s="16" t="n"/>
      <c r="C23" s="7" t="n"/>
      <c r="D23" s="7" t="n"/>
      <c r="E23" s="17">
        <f>IF(B23="","",C23*Inputs!$B$11)</f>
        <v/>
      </c>
      <c r="F23" s="17">
        <f>IF(B23="","",MIN(D23,E23))</f>
        <v/>
      </c>
      <c r="G23" s="18">
        <f>IF(B23="","",F23/C23)</f>
        <v/>
      </c>
      <c r="H23" s="17">
        <f>IF(B23="",0,B23*F23)</f>
        <v/>
      </c>
      <c r="I23" s="17">
        <f>IF(B23="",0,H23*$B$28)</f>
        <v/>
      </c>
      <c r="J23" s="19">
        <f>IF(B23="","",I23/Inputs!$B$9)</f>
        <v/>
      </c>
    </row>
    <row r="24">
      <c r="A24" s="15" t="n"/>
      <c r="B24" s="16" t="n"/>
      <c r="C24" s="7" t="n"/>
      <c r="D24" s="7" t="n"/>
      <c r="E24" s="17">
        <f>IF(B24="","",C24*Inputs!$B$11)</f>
        <v/>
      </c>
      <c r="F24" s="17">
        <f>IF(B24="","",MIN(D24,E24))</f>
        <v/>
      </c>
      <c r="G24" s="18">
        <f>IF(B24="","",F24/C24)</f>
        <v/>
      </c>
      <c r="H24" s="17">
        <f>IF(B24="",0,B24*F24)</f>
        <v/>
      </c>
      <c r="I24" s="17">
        <f>IF(B24="",0,H24*$B$28)</f>
        <v/>
      </c>
      <c r="J24" s="19">
        <f>IF(B24="","",I24/Inputs!$B$9)</f>
        <v/>
      </c>
    </row>
    <row r="25">
      <c r="A25" s="3" t="inlineStr">
        <is>
          <t>TOTAL</t>
        </is>
      </c>
      <c r="B25" s="20">
        <f>SUM(B5:B24)</f>
        <v/>
      </c>
      <c r="H25" s="21">
        <f>SUM(H5:H24)</f>
        <v/>
      </c>
      <c r="I25" s="21">
        <f>SUM(I5:I24)</f>
        <v/>
      </c>
      <c r="J25" s="22">
        <f>SUM(J5:J24)</f>
        <v/>
      </c>
    </row>
    <row r="27">
      <c r="A27" t="inlineStr">
        <is>
          <t>Lending corpus</t>
        </is>
      </c>
      <c r="B27" s="21">
        <f>Inputs!$B$9</f>
        <v/>
      </c>
    </row>
    <row r="28">
      <c r="A28" t="inlineStr">
        <is>
          <t>Scale factor (1 = full demand met)</t>
        </is>
      </c>
      <c r="B28" s="23">
        <f>IF(H25=0,0,MIN(1,B27/H25))</f>
        <v/>
      </c>
    </row>
    <row r="29">
      <c r="A29" t="inlineStr">
        <is>
          <t>Corpus not used</t>
        </is>
      </c>
      <c r="B29" s="21">
        <f>B27-I25</f>
        <v/>
      </c>
    </row>
    <row r="30">
      <c r="A30" t="inlineStr">
        <is>
          <t>Demand not met</t>
        </is>
      </c>
      <c r="B30" s="21">
        <f>H25-I25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4" customWidth="1" min="3" max="3"/>
    <col width="48" customWidth="1" min="4" max="4"/>
  </cols>
  <sheetData>
    <row r="1">
      <c r="A1" s="1" t="inlineStr">
        <is>
          <t>Fund flow: all loans made in year 1, until they close</t>
        </is>
      </c>
    </row>
    <row r="2">
      <c r="A2" s="2" t="inlineStr">
        <is>
          <t>TAMISEMI -&gt; Lenders -&gt; CMGs -&gt; back. All formulas; totals come from 'Monthly cycle'.</t>
        </is>
      </c>
    </row>
    <row r="4">
      <c r="A4" s="4" t="inlineStr">
        <is>
          <t>Step</t>
        </is>
      </c>
      <c r="B4" s="4" t="inlineStr">
        <is>
          <t>Amount (USD)</t>
        </is>
      </c>
      <c r="C4" s="4" t="inlineStr">
        <is>
          <t>From -&gt; To</t>
        </is>
      </c>
      <c r="D4" s="4" t="inlineStr">
        <is>
          <t>How it is worked out</t>
        </is>
      </c>
    </row>
    <row r="5">
      <c r="A5" s="5" t="inlineStr">
        <is>
          <t>1. MONEY OUT</t>
        </is>
      </c>
      <c r="B5" s="6" t="n"/>
      <c r="C5" s="6" t="n"/>
      <c r="D5" s="6" t="n"/>
    </row>
    <row r="6">
      <c r="A6" t="inlineStr">
        <is>
          <t>Total PAMOJA fund</t>
        </is>
      </c>
      <c r="B6" s="24">
        <f>Inputs!$B$6</f>
        <v/>
      </c>
      <c r="C6" t="inlineStr">
        <is>
          <t>TAMISEMI</t>
        </is>
      </c>
      <c r="D6" t="inlineStr"/>
    </row>
    <row r="7">
      <c r="A7" t="inlineStr">
        <is>
          <t>Lender incentives set aside</t>
        </is>
      </c>
      <c r="B7" s="24">
        <f>Inputs!$B$7</f>
        <v/>
      </c>
      <c r="C7" t="inlineStr">
        <is>
          <t>TAMISEMI -&gt; Lenders</t>
        </is>
      </c>
      <c r="D7" t="inlineStr">
        <is>
          <t>Paid later, not lent</t>
        </is>
      </c>
    </row>
    <row r="8">
      <c r="A8" t="inlineStr">
        <is>
          <t>CMG incentives set aside</t>
        </is>
      </c>
      <c r="B8" s="24">
        <f>Inputs!$B$8</f>
        <v/>
      </c>
      <c r="C8" t="inlineStr">
        <is>
          <t>TAMISEMI -&gt; CMGs</t>
        </is>
      </c>
      <c r="D8" t="inlineStr">
        <is>
          <t>Paid later, not lent</t>
        </is>
      </c>
    </row>
    <row r="9">
      <c r="A9" t="inlineStr">
        <is>
          <t>Advances to lenders (new loans from corpus)</t>
        </is>
      </c>
      <c r="B9" s="24">
        <f>'Monthly cycle'!$Z$8</f>
        <v/>
      </c>
      <c r="C9" t="inlineStr">
        <is>
          <t>TAMISEMI -&gt; Lenders</t>
        </is>
      </c>
      <c r="D9" t="inlineStr">
        <is>
          <t>Sum over the months</t>
        </is>
      </c>
    </row>
    <row r="10">
      <c r="A10" t="inlineStr">
        <is>
          <t>Corpus not lent (returned)</t>
        </is>
      </c>
      <c r="B10" s="24">
        <f>Inputs!$B$9-B9</f>
        <v/>
      </c>
      <c r="C10" t="inlineStr">
        <is>
          <t>Lenders -&gt; TAMISEMI</t>
        </is>
      </c>
      <c r="D10" t="inlineStr">
        <is>
          <t>Unused advance</t>
        </is>
      </c>
    </row>
    <row r="11">
      <c r="A11" t="inlineStr">
        <is>
          <t>Repayments lent out again</t>
        </is>
      </c>
      <c r="B11" s="24">
        <f>'Monthly cycle'!$Z$9</f>
        <v/>
      </c>
      <c r="C11" t="inlineStr">
        <is>
          <t>Lenders -&gt; CMGs</t>
        </is>
      </c>
      <c r="D11" t="inlineStr">
        <is>
          <t>Re-lending</t>
        </is>
      </c>
    </row>
    <row r="12">
      <c r="A12" s="3" t="inlineStr">
        <is>
          <t>Total loans to CMGs</t>
        </is>
      </c>
      <c r="B12" s="8">
        <f>B9+B11</f>
        <v/>
      </c>
      <c r="C12" t="inlineStr">
        <is>
          <t>Lenders -&gt; CMGs</t>
        </is>
      </c>
      <c r="D12" t="inlineStr"/>
    </row>
    <row r="13">
      <c r="A13" s="5" t="inlineStr">
        <is>
          <t>2. MONEY BACK FROM CMGs</t>
        </is>
      </c>
      <c r="B13" s="6" t="n"/>
      <c r="C13" s="6" t="n"/>
      <c r="D13" s="6" t="n"/>
    </row>
    <row r="14">
      <c r="A14" t="inlineStr">
        <is>
          <t>Principal defaulted</t>
        </is>
      </c>
      <c r="B14" s="24">
        <f>B12*Inputs!$B$16</f>
        <v/>
      </c>
      <c r="C14" t="inlineStr"/>
      <c r="D14" t="inlineStr">
        <is>
          <t>Loans x default rate</t>
        </is>
      </c>
    </row>
    <row r="15">
      <c r="A15" t="inlineStr">
        <is>
          <t>Principal repaid</t>
        </is>
      </c>
      <c r="B15" s="24">
        <f>'Monthly cycle'!$Z$12</f>
        <v/>
      </c>
      <c r="C15" t="inlineStr">
        <is>
          <t>CMGs -&gt; Lenders</t>
        </is>
      </c>
      <c r="D15" t="inlineStr">
        <is>
          <t>Loans - defaults</t>
        </is>
      </c>
    </row>
    <row r="16">
      <c r="A16" t="inlineStr">
        <is>
          <t>Interest collected</t>
        </is>
      </c>
      <c r="B16" s="24">
        <f>'Monthly cycle'!$Z$13</f>
        <v/>
      </c>
      <c r="C16" t="inlineStr">
        <is>
          <t>CMGs -&gt; Lenders</t>
        </is>
      </c>
      <c r="D16" t="inlineStr">
        <is>
          <t>Flat: repaid x rate x term/12</t>
        </is>
      </c>
    </row>
    <row r="17">
      <c r="A17" t="inlineStr">
        <is>
          <t>Total repayments</t>
        </is>
      </c>
      <c r="B17" s="24">
        <f>B15+B16</f>
        <v/>
      </c>
      <c r="C17" t="inlineStr">
        <is>
          <t>CMGs -&gt; Lenders</t>
        </is>
      </c>
      <c r="D17" t="inlineStr"/>
    </row>
    <row r="18">
      <c r="A18" s="5" t="inlineStr">
        <is>
          <t>3. SPLIT OF INTEREST</t>
        </is>
      </c>
      <c r="B18" s="6" t="n"/>
      <c r="C18" s="6" t="n"/>
      <c r="D18" s="6" t="n"/>
    </row>
    <row r="19">
      <c r="A19" t="inlineStr">
        <is>
          <t>Default budget (loss reserve)</t>
        </is>
      </c>
      <c r="B19" s="24">
        <f>B16*Inputs!$B$22</f>
        <v/>
      </c>
      <c r="C19" t="inlineStr">
        <is>
          <t>Lenders -&gt; TAMISEMI</t>
        </is>
      </c>
      <c r="D19" t="inlineStr"/>
    </row>
    <row r="20">
      <c r="A20" t="inlineStr">
        <is>
          <t>TAMISEMI share</t>
        </is>
      </c>
      <c r="B20" s="24">
        <f>B16*Inputs!$B$23</f>
        <v/>
      </c>
      <c r="C20" t="inlineStr">
        <is>
          <t>Lenders -&gt; TAMISEMI</t>
        </is>
      </c>
      <c r="D20" t="inlineStr"/>
    </row>
    <row r="21">
      <c r="A21" t="inlineStr">
        <is>
          <t>Region share</t>
        </is>
      </c>
      <c r="B21" s="24">
        <f>B16*Inputs!$B$24</f>
        <v/>
      </c>
      <c r="C21" t="inlineStr">
        <is>
          <t>-&gt; Region</t>
        </is>
      </c>
      <c r="D21" t="inlineStr"/>
    </row>
    <row r="22">
      <c r="A22" t="inlineStr">
        <is>
          <t>LGA share</t>
        </is>
      </c>
      <c r="B22" s="24">
        <f>B16*Inputs!$B$25</f>
        <v/>
      </c>
      <c r="C22" t="inlineStr">
        <is>
          <t>-&gt; LGA</t>
        </is>
      </c>
      <c r="D22" t="inlineStr"/>
    </row>
    <row r="23">
      <c r="A23" t="inlineStr">
        <is>
          <t>Lender margin</t>
        </is>
      </c>
      <c r="B23" s="24">
        <f>B16*Inputs!$B$26</f>
        <v/>
      </c>
      <c r="C23" t="inlineStr">
        <is>
          <t>Kept by lenders</t>
        </is>
      </c>
      <c r="D23" t="inlineStr">
        <is>
          <t>Remainder</t>
        </is>
      </c>
    </row>
    <row r="24">
      <c r="A24" s="5" t="inlineStr">
        <is>
          <t>4. CORPUS CHECK (after all loans close)</t>
        </is>
      </c>
      <c r="B24" s="6" t="n"/>
      <c r="C24" s="6" t="n"/>
      <c r="D24" s="6" t="n"/>
    </row>
    <row r="25">
      <c r="A25" t="inlineStr">
        <is>
          <t>Corpus at start</t>
        </is>
      </c>
      <c r="B25" s="24">
        <f>Inputs!$B$9</f>
        <v/>
      </c>
      <c r="C25" t="inlineStr"/>
      <c r="D25" t="inlineStr"/>
    </row>
    <row r="26">
      <c r="A26" t="inlineStr">
        <is>
          <t>Less principal defaulted</t>
        </is>
      </c>
      <c r="B26" s="24">
        <f>-B14</f>
        <v/>
      </c>
      <c r="C26" t="inlineStr"/>
      <c r="D26" t="inlineStr"/>
    </row>
    <row r="27">
      <c r="A27" t="inlineStr">
        <is>
          <t>Plus default budget added back</t>
        </is>
      </c>
      <c r="B27" s="24">
        <f>B19</f>
        <v/>
      </c>
      <c r="C27" t="inlineStr"/>
      <c r="D27" t="inlineStr">
        <is>
          <t>Covers the defaulted principal</t>
        </is>
      </c>
    </row>
    <row r="28">
      <c r="A28" s="3" t="inlineStr">
        <is>
          <t>Corpus at end</t>
        </is>
      </c>
      <c r="B28" s="8">
        <f>B25+B26+B27</f>
        <v/>
      </c>
      <c r="C28" t="inlineStr"/>
      <c r="D28" t="inlineStr"/>
    </row>
    <row r="29">
      <c r="A29" t="inlineStr">
        <is>
          <t>Gap (end - start)</t>
        </is>
      </c>
      <c r="B29" s="24">
        <f>B28-B25</f>
        <v/>
      </c>
      <c r="C29" t="inlineStr"/>
      <c r="D29" t="inlineStr">
        <is>
          <t>Negative = corpus NOT restored</t>
        </is>
      </c>
    </row>
    <row r="30">
      <c r="A30" s="3" t="inlineStr">
        <is>
          <t>Result</t>
        </is>
      </c>
      <c r="B30" s="12">
        <f>IF(B29&gt;=-0.5,"Corpus restored","Corpus NOT restored - raise interest share for defaults or rate")</f>
        <v/>
      </c>
      <c r="C30" t="inlineStr"/>
      <c r="D30" t="inlineStr"/>
    </row>
    <row r="31">
      <c r="A31" t="inlineStr">
        <is>
          <t>Default budget needed (% of interest)</t>
        </is>
      </c>
      <c r="B31" s="25">
        <f>IF(B16=0,0,B14/B16)</f>
        <v/>
      </c>
      <c r="C31" t="inlineStr"/>
      <c r="D31" t="inlineStr">
        <is>
          <t>Minimum share of interest to cover defaults</t>
        </is>
      </c>
    </row>
    <row r="32">
      <c r="A32" t="inlineStr">
        <is>
          <t>Break-even default rate</t>
        </is>
      </c>
      <c r="B32" s="25">
        <f>Inputs!$B$22*Inputs!$B$12*Inputs!$B$14/12/(1+Inputs!$B$22*Inputs!$B$12*Inputs!$B$14/12)</f>
        <v/>
      </c>
      <c r="C32" t="inlineStr"/>
      <c r="D32" t="inlineStr">
        <is>
          <t>Highest default rate the current split can cover</t>
        </is>
      </c>
      <c r="F32" s="26" t="inlineStr">
        <is>
          <t>Chart data (auto - do not edit)</t>
        </is>
      </c>
    </row>
    <row r="33">
      <c r="A33" t="inlineStr">
        <is>
          <t>Check: matches month-24 cash on 'Monthly cycle'</t>
        </is>
      </c>
      <c r="B33" s="27">
        <f>IF(ABS(B28-'Monthly cycle'!Y16)&lt;1,"OK","ERROR")</f>
        <v/>
      </c>
      <c r="C33" t="inlineStr"/>
      <c r="D33" t="inlineStr"/>
      <c r="F33" t="inlineStr">
        <is>
          <t>Money not lent (returned to TAMISEMI)</t>
        </is>
      </c>
      <c r="G33" s="17">
        <f>B10</f>
        <v/>
      </c>
    </row>
    <row r="34">
      <c r="A34" s="5" t="inlineStr">
        <is>
          <t>5. YEAR-END TIMING (from 'Monthly cycle')</t>
        </is>
      </c>
      <c r="B34" s="6" t="n"/>
      <c r="C34" s="6" t="n"/>
      <c r="D34" s="6" t="n"/>
      <c r="F34" t="inlineStr">
        <is>
          <t>Principal repaid</t>
        </is>
      </c>
      <c r="G34" s="17">
        <f>B15</f>
        <v/>
      </c>
    </row>
    <row r="35">
      <c r="A35" t="inlineStr">
        <is>
          <t>Cash back in the fund at month 12</t>
        </is>
      </c>
      <c r="B35" s="24">
        <f>'Monthly cycle'!B21</f>
        <v/>
      </c>
      <c r="C35" t="inlineStr"/>
      <c r="D35" t="inlineStr"/>
      <c r="F35" t="inlineStr">
        <is>
          <t>Interest collected</t>
        </is>
      </c>
      <c r="G35" s="17">
        <f>B16</f>
        <v/>
      </c>
    </row>
    <row r="36">
      <c r="A36" t="inlineStr">
        <is>
          <t>Still out on loan at month 12</t>
        </is>
      </c>
      <c r="B36" s="24">
        <f>'Monthly cycle'!B22</f>
        <v/>
      </c>
      <c r="C36" t="inlineStr"/>
      <c r="D36" t="inlineStr">
        <is>
          <t>Comes back in year 2</t>
        </is>
      </c>
    </row>
    <row r="37">
      <c r="A37" t="inlineStr">
        <is>
          <t>First month corpus fully back as cash</t>
        </is>
      </c>
      <c r="B37" s="28">
        <f>'Monthly cycle'!B27</f>
        <v/>
      </c>
      <c r="C37" t="inlineStr"/>
      <c r="D37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Monthly cycle (24 months: year 1 lending, year 2 run-off)</t>
        </is>
      </c>
    </row>
    <row r="2">
      <c r="A2" s="2" t="inlineStr">
        <is>
          <t>Enter the % of the allocated amount lent as NEW loans each month (yellow, months 1-12). Repayments are equal monthly instalments over the loan term.</t>
        </is>
      </c>
    </row>
    <row r="4">
      <c r="A4" s="4" t="inlineStr">
        <is>
          <t>Line</t>
        </is>
      </c>
      <c r="B4" s="4" t="inlineStr">
        <is>
          <t>M1</t>
        </is>
      </c>
      <c r="C4" s="4" t="inlineStr">
        <is>
          <t>M2</t>
        </is>
      </c>
      <c r="D4" s="4" t="inlineStr">
        <is>
          <t>M3</t>
        </is>
      </c>
      <c r="E4" s="4" t="inlineStr">
        <is>
          <t>M4</t>
        </is>
      </c>
      <c r="F4" s="4" t="inlineStr">
        <is>
          <t>M5</t>
        </is>
      </c>
      <c r="G4" s="4" t="inlineStr">
        <is>
          <t>M6</t>
        </is>
      </c>
      <c r="H4" s="4" t="inlineStr">
        <is>
          <t>M7</t>
        </is>
      </c>
      <c r="I4" s="4" t="inlineStr">
        <is>
          <t>M8</t>
        </is>
      </c>
      <c r="J4" s="4" t="inlineStr">
        <is>
          <t>M9</t>
        </is>
      </c>
      <c r="K4" s="4" t="inlineStr">
        <is>
          <t>M10</t>
        </is>
      </c>
      <c r="L4" s="4" t="inlineStr">
        <is>
          <t>M11</t>
        </is>
      </c>
      <c r="M4" s="4" t="inlineStr">
        <is>
          <t>M12</t>
        </is>
      </c>
      <c r="N4" s="4" t="inlineStr">
        <is>
          <t>M13</t>
        </is>
      </c>
      <c r="O4" s="4" t="inlineStr">
        <is>
          <t>M14</t>
        </is>
      </c>
      <c r="P4" s="4" t="inlineStr">
        <is>
          <t>M15</t>
        </is>
      </c>
      <c r="Q4" s="4" t="inlineStr">
        <is>
          <t>M16</t>
        </is>
      </c>
      <c r="R4" s="4" t="inlineStr">
        <is>
          <t>M17</t>
        </is>
      </c>
      <c r="S4" s="4" t="inlineStr">
        <is>
          <t>M18</t>
        </is>
      </c>
      <c r="T4" s="4" t="inlineStr">
        <is>
          <t>M19</t>
        </is>
      </c>
      <c r="U4" s="4" t="inlineStr">
        <is>
          <t>M20</t>
        </is>
      </c>
      <c r="V4" s="4" t="inlineStr">
        <is>
          <t>M21</t>
        </is>
      </c>
      <c r="W4" s="4" t="inlineStr">
        <is>
          <t>M22</t>
        </is>
      </c>
      <c r="X4" s="4" t="inlineStr">
        <is>
          <t>M23</t>
        </is>
      </c>
      <c r="Y4" s="4" t="inlineStr">
        <is>
          <t>M24</t>
        </is>
      </c>
      <c r="Z4" s="4" t="inlineStr">
        <is>
          <t>Total</t>
        </is>
      </c>
    </row>
    <row r="5">
      <c r="A5" t="inlineStr">
        <is>
          <t>Month number</t>
        </is>
      </c>
      <c r="B5" s="3" t="n">
        <v>1</v>
      </c>
      <c r="C5" s="3" t="n">
        <v>2</v>
      </c>
      <c r="D5" s="3" t="n">
        <v>3</v>
      </c>
      <c r="E5" s="3" t="n">
        <v>4</v>
      </c>
      <c r="F5" s="3" t="n">
        <v>5</v>
      </c>
      <c r="G5" s="3" t="n">
        <v>6</v>
      </c>
      <c r="H5" s="3" t="n">
        <v>7</v>
      </c>
      <c r="I5" s="3" t="n">
        <v>8</v>
      </c>
      <c r="J5" s="3" t="n">
        <v>9</v>
      </c>
      <c r="K5" s="3" t="n">
        <v>10</v>
      </c>
      <c r="L5" s="3" t="n">
        <v>11</v>
      </c>
      <c r="M5" s="29" t="n">
        <v>12</v>
      </c>
      <c r="N5" s="3" t="n">
        <v>13</v>
      </c>
      <c r="O5" s="3" t="n">
        <v>14</v>
      </c>
      <c r="P5" s="3" t="n">
        <v>15</v>
      </c>
      <c r="Q5" s="3" t="n">
        <v>16</v>
      </c>
      <c r="R5" s="3" t="n">
        <v>17</v>
      </c>
      <c r="S5" s="3" t="n">
        <v>18</v>
      </c>
      <c r="T5" s="3" t="n">
        <v>19</v>
      </c>
      <c r="U5" s="3" t="n">
        <v>20</v>
      </c>
      <c r="V5" s="3" t="n">
        <v>21</v>
      </c>
      <c r="W5" s="3" t="n">
        <v>22</v>
      </c>
      <c r="X5" s="3" t="n">
        <v>23</v>
      </c>
      <c r="Y5" s="3" t="n">
        <v>24</v>
      </c>
    </row>
    <row r="6">
      <c r="A6" t="inlineStr">
        <is>
          <t>Year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s="30" t="n">
        <v>1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</row>
    <row r="7">
      <c r="A7" t="inlineStr">
        <is>
          <t>% of allocation lent as NEW loans this month</t>
        </is>
      </c>
      <c r="B7" s="10" t="n">
        <v>0.25</v>
      </c>
      <c r="C7" s="10" t="n">
        <v>0.2</v>
      </c>
      <c r="D7" s="10" t="n">
        <v>0.15</v>
      </c>
      <c r="E7" s="10" t="n">
        <v>0.1</v>
      </c>
      <c r="F7" s="10" t="n">
        <v>0.1</v>
      </c>
      <c r="G7" s="10" t="n">
        <v>0.1</v>
      </c>
      <c r="H7" s="10" t="n">
        <v>0.05</v>
      </c>
      <c r="I7" s="10" t="n">
        <v>0.05</v>
      </c>
      <c r="J7" s="10" t="n">
        <v>0</v>
      </c>
      <c r="K7" s="10" t="n">
        <v>0</v>
      </c>
      <c r="L7" s="10" t="n">
        <v>0</v>
      </c>
      <c r="M7" s="31" t="n">
        <v>0</v>
      </c>
      <c r="N7" s="32" t="n">
        <v>0</v>
      </c>
      <c r="O7" s="32" t="n">
        <v>0</v>
      </c>
      <c r="P7" s="32" t="n">
        <v>0</v>
      </c>
      <c r="Q7" s="32" t="n">
        <v>0</v>
      </c>
      <c r="R7" s="32" t="n">
        <v>0</v>
      </c>
      <c r="S7" s="32" t="n">
        <v>0</v>
      </c>
      <c r="T7" s="32" t="n">
        <v>0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19">
        <f>SUM(B7:M7)</f>
        <v/>
      </c>
    </row>
    <row r="8">
      <c r="A8" t="inlineStr">
        <is>
          <t>New loans from the corpus</t>
        </is>
      </c>
      <c r="B8" s="17">
        <f>IF(B$5&lt;=Inputs!$B$18,B7*Districts!$I$25,0)</f>
        <v/>
      </c>
      <c r="C8" s="17">
        <f>IF(C$5&lt;=Inputs!$B$18,C7*Districts!$I$25,0)</f>
        <v/>
      </c>
      <c r="D8" s="17">
        <f>IF(D$5&lt;=Inputs!$B$18,D7*Districts!$I$25,0)</f>
        <v/>
      </c>
      <c r="E8" s="17">
        <f>IF(E$5&lt;=Inputs!$B$18,E7*Districts!$I$25,0)</f>
        <v/>
      </c>
      <c r="F8" s="17">
        <f>IF(F$5&lt;=Inputs!$B$18,F7*Districts!$I$25,0)</f>
        <v/>
      </c>
      <c r="G8" s="17">
        <f>IF(G$5&lt;=Inputs!$B$18,G7*Districts!$I$25,0)</f>
        <v/>
      </c>
      <c r="H8" s="17">
        <f>IF(H$5&lt;=Inputs!$B$18,H7*Districts!$I$25,0)</f>
        <v/>
      </c>
      <c r="I8" s="17">
        <f>IF(I$5&lt;=Inputs!$B$18,I7*Districts!$I$25,0)</f>
        <v/>
      </c>
      <c r="J8" s="17">
        <f>IF(J$5&lt;=Inputs!$B$18,J7*Districts!$I$25,0)</f>
        <v/>
      </c>
      <c r="K8" s="17">
        <f>IF(K$5&lt;=Inputs!$B$18,K7*Districts!$I$25,0)</f>
        <v/>
      </c>
      <c r="L8" s="17">
        <f>IF(L$5&lt;=Inputs!$B$18,L7*Districts!$I$25,0)</f>
        <v/>
      </c>
      <c r="M8" s="33">
        <f>IF(M$5&lt;=Inputs!$B$18,M7*Districts!$I$25,0)</f>
        <v/>
      </c>
      <c r="N8" s="17">
        <f>IF(N$5&lt;=Inputs!$B$18,N7*Districts!$I$25,0)</f>
        <v/>
      </c>
      <c r="O8" s="17">
        <f>IF(O$5&lt;=Inputs!$B$18,O7*Districts!$I$25,0)</f>
        <v/>
      </c>
      <c r="P8" s="17">
        <f>IF(P$5&lt;=Inputs!$B$18,P7*Districts!$I$25,0)</f>
        <v/>
      </c>
      <c r="Q8" s="17">
        <f>IF(Q$5&lt;=Inputs!$B$18,Q7*Districts!$I$25,0)</f>
        <v/>
      </c>
      <c r="R8" s="17">
        <f>IF(R$5&lt;=Inputs!$B$18,R7*Districts!$I$25,0)</f>
        <v/>
      </c>
      <c r="S8" s="17">
        <f>IF(S$5&lt;=Inputs!$B$18,S7*Districts!$I$25,0)</f>
        <v/>
      </c>
      <c r="T8" s="17">
        <f>IF(T$5&lt;=Inputs!$B$18,T7*Districts!$I$25,0)</f>
        <v/>
      </c>
      <c r="U8" s="17">
        <f>IF(U$5&lt;=Inputs!$B$18,U7*Districts!$I$25,0)</f>
        <v/>
      </c>
      <c r="V8" s="17">
        <f>IF(V$5&lt;=Inputs!$B$18,V7*Districts!$I$25,0)</f>
        <v/>
      </c>
      <c r="W8" s="17">
        <f>IF(W$5&lt;=Inputs!$B$18,W7*Districts!$I$25,0)</f>
        <v/>
      </c>
      <c r="X8" s="17">
        <f>IF(X$5&lt;=Inputs!$B$18,X7*Districts!$I$25,0)</f>
        <v/>
      </c>
      <c r="Y8" s="17">
        <f>IF(Y$5&lt;=Inputs!$B$18,Y7*Districts!$I$25,0)</f>
        <v/>
      </c>
      <c r="Z8" s="21">
        <f>SUM(B8:Y8)</f>
        <v/>
      </c>
    </row>
    <row r="9">
      <c r="A9" t="inlineStr">
        <is>
          <t>Re-lent repayments</t>
        </is>
      </c>
      <c r="B9" s="17">
        <f>0</f>
        <v/>
      </c>
      <c r="C9" s="17">
        <f>IF(C$5&lt;=Inputs!$B$18,B12*Inputs!$B$19,0)</f>
        <v/>
      </c>
      <c r="D9" s="17">
        <f>IF(D$5&lt;=Inputs!$B$18,C12*Inputs!$B$19,0)</f>
        <v/>
      </c>
      <c r="E9" s="17">
        <f>IF(E$5&lt;=Inputs!$B$18,D12*Inputs!$B$19,0)</f>
        <v/>
      </c>
      <c r="F9" s="17">
        <f>IF(F$5&lt;=Inputs!$B$18,E12*Inputs!$B$19,0)</f>
        <v/>
      </c>
      <c r="G9" s="17">
        <f>IF(G$5&lt;=Inputs!$B$18,F12*Inputs!$B$19,0)</f>
        <v/>
      </c>
      <c r="H9" s="17">
        <f>IF(H$5&lt;=Inputs!$B$18,G12*Inputs!$B$19,0)</f>
        <v/>
      </c>
      <c r="I9" s="17">
        <f>IF(I$5&lt;=Inputs!$B$18,H12*Inputs!$B$19,0)</f>
        <v/>
      </c>
      <c r="J9" s="17">
        <f>IF(J$5&lt;=Inputs!$B$18,I12*Inputs!$B$19,0)</f>
        <v/>
      </c>
      <c r="K9" s="17">
        <f>IF(K$5&lt;=Inputs!$B$18,J12*Inputs!$B$19,0)</f>
        <v/>
      </c>
      <c r="L9" s="17">
        <f>IF(L$5&lt;=Inputs!$B$18,K12*Inputs!$B$19,0)</f>
        <v/>
      </c>
      <c r="M9" s="33">
        <f>IF(M$5&lt;=Inputs!$B$18,L12*Inputs!$B$19,0)</f>
        <v/>
      </c>
      <c r="N9" s="17">
        <f>IF(N$5&lt;=Inputs!$B$18,M12*Inputs!$B$19,0)</f>
        <v/>
      </c>
      <c r="O9" s="17">
        <f>IF(O$5&lt;=Inputs!$B$18,N12*Inputs!$B$19,0)</f>
        <v/>
      </c>
      <c r="P9" s="17">
        <f>IF(P$5&lt;=Inputs!$B$18,O12*Inputs!$B$19,0)</f>
        <v/>
      </c>
      <c r="Q9" s="17">
        <f>IF(Q$5&lt;=Inputs!$B$18,P12*Inputs!$B$19,0)</f>
        <v/>
      </c>
      <c r="R9" s="17">
        <f>IF(R$5&lt;=Inputs!$B$18,Q12*Inputs!$B$19,0)</f>
        <v/>
      </c>
      <c r="S9" s="17">
        <f>IF(S$5&lt;=Inputs!$B$18,R12*Inputs!$B$19,0)</f>
        <v/>
      </c>
      <c r="T9" s="17">
        <f>IF(T$5&lt;=Inputs!$B$18,S12*Inputs!$B$19,0)</f>
        <v/>
      </c>
      <c r="U9" s="17">
        <f>IF(U$5&lt;=Inputs!$B$18,T12*Inputs!$B$19,0)</f>
        <v/>
      </c>
      <c r="V9" s="17">
        <f>IF(V$5&lt;=Inputs!$B$18,U12*Inputs!$B$19,0)</f>
        <v/>
      </c>
      <c r="W9" s="17">
        <f>IF(W$5&lt;=Inputs!$B$18,V12*Inputs!$B$19,0)</f>
        <v/>
      </c>
      <c r="X9" s="17">
        <f>IF(X$5&lt;=Inputs!$B$18,W12*Inputs!$B$19,0)</f>
        <v/>
      </c>
      <c r="Y9" s="17">
        <f>IF(Y$5&lt;=Inputs!$B$18,X12*Inputs!$B$19,0)</f>
        <v/>
      </c>
      <c r="Z9" s="21">
        <f>SUM(B9:Y9)</f>
        <v/>
      </c>
    </row>
    <row r="10">
      <c r="A10" s="3" t="inlineStr">
        <is>
          <t>Total loans made this month</t>
        </is>
      </c>
      <c r="B10" s="17">
        <f>B8+B9</f>
        <v/>
      </c>
      <c r="C10" s="17">
        <f>C8+C9</f>
        <v/>
      </c>
      <c r="D10" s="17">
        <f>D8+D9</f>
        <v/>
      </c>
      <c r="E10" s="17">
        <f>E8+E9</f>
        <v/>
      </c>
      <c r="F10" s="17">
        <f>F8+F9</f>
        <v/>
      </c>
      <c r="G10" s="17">
        <f>G8+G9</f>
        <v/>
      </c>
      <c r="H10" s="17">
        <f>H8+H9</f>
        <v/>
      </c>
      <c r="I10" s="17">
        <f>I8+I9</f>
        <v/>
      </c>
      <c r="J10" s="17">
        <f>J8+J9</f>
        <v/>
      </c>
      <c r="K10" s="17">
        <f>K8+K9</f>
        <v/>
      </c>
      <c r="L10" s="17">
        <f>L8+L9</f>
        <v/>
      </c>
      <c r="M10" s="33">
        <f>M8+M9</f>
        <v/>
      </c>
      <c r="N10" s="17">
        <f>N8+N9</f>
        <v/>
      </c>
      <c r="O10" s="17">
        <f>O8+O9</f>
        <v/>
      </c>
      <c r="P10" s="17">
        <f>P8+P9</f>
        <v/>
      </c>
      <c r="Q10" s="17">
        <f>Q8+Q9</f>
        <v/>
      </c>
      <c r="R10" s="17">
        <f>R8+R9</f>
        <v/>
      </c>
      <c r="S10" s="17">
        <f>S8+S9</f>
        <v/>
      </c>
      <c r="T10" s="17">
        <f>T8+T9</f>
        <v/>
      </c>
      <c r="U10" s="17">
        <f>U8+U9</f>
        <v/>
      </c>
      <c r="V10" s="17">
        <f>V8+V9</f>
        <v/>
      </c>
      <c r="W10" s="17">
        <f>W8+W9</f>
        <v/>
      </c>
      <c r="X10" s="17">
        <f>X8+X9</f>
        <v/>
      </c>
      <c r="Y10" s="17">
        <f>Y8+Y9</f>
        <v/>
      </c>
      <c r="Z10" s="21">
        <f>SUM(B10:Y10)</f>
        <v/>
      </c>
    </row>
    <row r="11">
      <c r="A11" t="inlineStr">
        <is>
          <t>Principal due</t>
        </is>
      </c>
      <c r="B11" s="17">
        <f>0</f>
        <v/>
      </c>
      <c r="C11" s="17">
        <f>SUMIFS($B10:B10,$B$5:B$5,"&gt;="&amp;(C$5-Inputs!$B$14))/Inputs!$B$14</f>
        <v/>
      </c>
      <c r="D11" s="17">
        <f>SUMIFS($B10:C10,$B$5:C$5,"&gt;="&amp;(D$5-Inputs!$B$14))/Inputs!$B$14</f>
        <v/>
      </c>
      <c r="E11" s="17">
        <f>SUMIFS($B10:D10,$B$5:D$5,"&gt;="&amp;(E$5-Inputs!$B$14))/Inputs!$B$14</f>
        <v/>
      </c>
      <c r="F11" s="17">
        <f>SUMIFS($B10:E10,$B$5:E$5,"&gt;="&amp;(F$5-Inputs!$B$14))/Inputs!$B$14</f>
        <v/>
      </c>
      <c r="G11" s="17">
        <f>SUMIFS($B10:F10,$B$5:F$5,"&gt;="&amp;(G$5-Inputs!$B$14))/Inputs!$B$14</f>
        <v/>
      </c>
      <c r="H11" s="17">
        <f>SUMIFS($B10:G10,$B$5:G$5,"&gt;="&amp;(H$5-Inputs!$B$14))/Inputs!$B$14</f>
        <v/>
      </c>
      <c r="I11" s="17">
        <f>SUMIFS($B10:H10,$B$5:H$5,"&gt;="&amp;(I$5-Inputs!$B$14))/Inputs!$B$14</f>
        <v/>
      </c>
      <c r="J11" s="17">
        <f>SUMIFS($B10:I10,$B$5:I$5,"&gt;="&amp;(J$5-Inputs!$B$14))/Inputs!$B$14</f>
        <v/>
      </c>
      <c r="K11" s="17">
        <f>SUMIFS($B10:J10,$B$5:J$5,"&gt;="&amp;(K$5-Inputs!$B$14))/Inputs!$B$14</f>
        <v/>
      </c>
      <c r="L11" s="17">
        <f>SUMIFS($B10:K10,$B$5:K$5,"&gt;="&amp;(L$5-Inputs!$B$14))/Inputs!$B$14</f>
        <v/>
      </c>
      <c r="M11" s="33">
        <f>SUMIFS($B10:L10,$B$5:L$5,"&gt;="&amp;(M$5-Inputs!$B$14))/Inputs!$B$14</f>
        <v/>
      </c>
      <c r="N11" s="17">
        <f>SUMIFS($B10:M10,$B$5:M$5,"&gt;="&amp;(N$5-Inputs!$B$14))/Inputs!$B$14</f>
        <v/>
      </c>
      <c r="O11" s="17">
        <f>SUMIFS($B10:N10,$B$5:N$5,"&gt;="&amp;(O$5-Inputs!$B$14))/Inputs!$B$14</f>
        <v/>
      </c>
      <c r="P11" s="17">
        <f>SUMIFS($B10:O10,$B$5:O$5,"&gt;="&amp;(P$5-Inputs!$B$14))/Inputs!$B$14</f>
        <v/>
      </c>
      <c r="Q11" s="17">
        <f>SUMIFS($B10:P10,$B$5:P$5,"&gt;="&amp;(Q$5-Inputs!$B$14))/Inputs!$B$14</f>
        <v/>
      </c>
      <c r="R11" s="17">
        <f>SUMIFS($B10:Q10,$B$5:Q$5,"&gt;="&amp;(R$5-Inputs!$B$14))/Inputs!$B$14</f>
        <v/>
      </c>
      <c r="S11" s="17">
        <f>SUMIFS($B10:R10,$B$5:R$5,"&gt;="&amp;(S$5-Inputs!$B$14))/Inputs!$B$14</f>
        <v/>
      </c>
      <c r="T11" s="17">
        <f>SUMIFS($B10:S10,$B$5:S$5,"&gt;="&amp;(T$5-Inputs!$B$14))/Inputs!$B$14</f>
        <v/>
      </c>
      <c r="U11" s="17">
        <f>SUMIFS($B10:T10,$B$5:T$5,"&gt;="&amp;(U$5-Inputs!$B$14))/Inputs!$B$14</f>
        <v/>
      </c>
      <c r="V11" s="17">
        <f>SUMIFS($B10:U10,$B$5:U$5,"&gt;="&amp;(V$5-Inputs!$B$14))/Inputs!$B$14</f>
        <v/>
      </c>
      <c r="W11" s="17">
        <f>SUMIFS($B10:V10,$B$5:V$5,"&gt;="&amp;(W$5-Inputs!$B$14))/Inputs!$B$14</f>
        <v/>
      </c>
      <c r="X11" s="17">
        <f>SUMIFS($B10:W10,$B$5:W$5,"&gt;="&amp;(X$5-Inputs!$B$14))/Inputs!$B$14</f>
        <v/>
      </c>
      <c r="Y11" s="17">
        <f>SUMIFS($B10:X10,$B$5:X$5,"&gt;="&amp;(Y$5-Inputs!$B$14))/Inputs!$B$14</f>
        <v/>
      </c>
      <c r="Z11" s="21">
        <f>SUM(B11:Y11)</f>
        <v/>
      </c>
    </row>
    <row r="12">
      <c r="A12" t="inlineStr">
        <is>
          <t>Principal repaid (after defaults)</t>
        </is>
      </c>
      <c r="B12" s="17">
        <f>B11*(1-Inputs!$B$16)</f>
        <v/>
      </c>
      <c r="C12" s="17">
        <f>C11*(1-Inputs!$B$16)</f>
        <v/>
      </c>
      <c r="D12" s="17">
        <f>D11*(1-Inputs!$B$16)</f>
        <v/>
      </c>
      <c r="E12" s="17">
        <f>E11*(1-Inputs!$B$16)</f>
        <v/>
      </c>
      <c r="F12" s="17">
        <f>F11*(1-Inputs!$B$16)</f>
        <v/>
      </c>
      <c r="G12" s="17">
        <f>G11*(1-Inputs!$B$16)</f>
        <v/>
      </c>
      <c r="H12" s="17">
        <f>H11*(1-Inputs!$B$16)</f>
        <v/>
      </c>
      <c r="I12" s="17">
        <f>I11*(1-Inputs!$B$16)</f>
        <v/>
      </c>
      <c r="J12" s="17">
        <f>J11*(1-Inputs!$B$16)</f>
        <v/>
      </c>
      <c r="K12" s="17">
        <f>K11*(1-Inputs!$B$16)</f>
        <v/>
      </c>
      <c r="L12" s="17">
        <f>L11*(1-Inputs!$B$16)</f>
        <v/>
      </c>
      <c r="M12" s="33">
        <f>M11*(1-Inputs!$B$16)</f>
        <v/>
      </c>
      <c r="N12" s="17">
        <f>N11*(1-Inputs!$B$16)</f>
        <v/>
      </c>
      <c r="O12" s="17">
        <f>O11*(1-Inputs!$B$16)</f>
        <v/>
      </c>
      <c r="P12" s="17">
        <f>P11*(1-Inputs!$B$16)</f>
        <v/>
      </c>
      <c r="Q12" s="17">
        <f>Q11*(1-Inputs!$B$16)</f>
        <v/>
      </c>
      <c r="R12" s="17">
        <f>R11*(1-Inputs!$B$16)</f>
        <v/>
      </c>
      <c r="S12" s="17">
        <f>S11*(1-Inputs!$B$16)</f>
        <v/>
      </c>
      <c r="T12" s="17">
        <f>T11*(1-Inputs!$B$16)</f>
        <v/>
      </c>
      <c r="U12" s="17">
        <f>U11*(1-Inputs!$B$16)</f>
        <v/>
      </c>
      <c r="V12" s="17">
        <f>V11*(1-Inputs!$B$16)</f>
        <v/>
      </c>
      <c r="W12" s="17">
        <f>W11*(1-Inputs!$B$16)</f>
        <v/>
      </c>
      <c r="X12" s="17">
        <f>X11*(1-Inputs!$B$16)</f>
        <v/>
      </c>
      <c r="Y12" s="17">
        <f>Y11*(1-Inputs!$B$16)</f>
        <v/>
      </c>
      <c r="Z12" s="21">
        <f>SUM(B12:Y12)</f>
        <v/>
      </c>
    </row>
    <row r="13">
      <c r="A13" t="inlineStr">
        <is>
          <t>Interest collected</t>
        </is>
      </c>
      <c r="B13" s="17">
        <f>B12*Inputs!$B$12/12*Inputs!$B$14</f>
        <v/>
      </c>
      <c r="C13" s="17">
        <f>C12*Inputs!$B$12/12*Inputs!$B$14</f>
        <v/>
      </c>
      <c r="D13" s="17">
        <f>D12*Inputs!$B$12/12*Inputs!$B$14</f>
        <v/>
      </c>
      <c r="E13" s="17">
        <f>E12*Inputs!$B$12/12*Inputs!$B$14</f>
        <v/>
      </c>
      <c r="F13" s="17">
        <f>F12*Inputs!$B$12/12*Inputs!$B$14</f>
        <v/>
      </c>
      <c r="G13" s="17">
        <f>G12*Inputs!$B$12/12*Inputs!$B$14</f>
        <v/>
      </c>
      <c r="H13" s="17">
        <f>H12*Inputs!$B$12/12*Inputs!$B$14</f>
        <v/>
      </c>
      <c r="I13" s="17">
        <f>I12*Inputs!$B$12/12*Inputs!$B$14</f>
        <v/>
      </c>
      <c r="J13" s="17">
        <f>J12*Inputs!$B$12/12*Inputs!$B$14</f>
        <v/>
      </c>
      <c r="K13" s="17">
        <f>K12*Inputs!$B$12/12*Inputs!$B$14</f>
        <v/>
      </c>
      <c r="L13" s="17">
        <f>L12*Inputs!$B$12/12*Inputs!$B$14</f>
        <v/>
      </c>
      <c r="M13" s="33">
        <f>M12*Inputs!$B$12/12*Inputs!$B$14</f>
        <v/>
      </c>
      <c r="N13" s="17">
        <f>N12*Inputs!$B$12/12*Inputs!$B$14</f>
        <v/>
      </c>
      <c r="O13" s="17">
        <f>O12*Inputs!$B$12/12*Inputs!$B$14</f>
        <v/>
      </c>
      <c r="P13" s="17">
        <f>P12*Inputs!$B$12/12*Inputs!$B$14</f>
        <v/>
      </c>
      <c r="Q13" s="17">
        <f>Q12*Inputs!$B$12/12*Inputs!$B$14</f>
        <v/>
      </c>
      <c r="R13" s="17">
        <f>R12*Inputs!$B$12/12*Inputs!$B$14</f>
        <v/>
      </c>
      <c r="S13" s="17">
        <f>S12*Inputs!$B$12/12*Inputs!$B$14</f>
        <v/>
      </c>
      <c r="T13" s="17">
        <f>T12*Inputs!$B$12/12*Inputs!$B$14</f>
        <v/>
      </c>
      <c r="U13" s="17">
        <f>U12*Inputs!$B$12/12*Inputs!$B$14</f>
        <v/>
      </c>
      <c r="V13" s="17">
        <f>V12*Inputs!$B$12/12*Inputs!$B$14</f>
        <v/>
      </c>
      <c r="W13" s="17">
        <f>W12*Inputs!$B$12/12*Inputs!$B$14</f>
        <v/>
      </c>
      <c r="X13" s="17">
        <f>X12*Inputs!$B$12/12*Inputs!$B$14</f>
        <v/>
      </c>
      <c r="Y13" s="17">
        <f>Y12*Inputs!$B$12/12*Inputs!$B$14</f>
        <v/>
      </c>
      <c r="Z13" s="21">
        <f>SUM(B13:Y13)</f>
        <v/>
      </c>
    </row>
    <row r="14">
      <c r="A14" t="inlineStr">
        <is>
          <t>Default budget returned to fund</t>
        </is>
      </c>
      <c r="B14" s="17">
        <f>B13*Inputs!$B$22</f>
        <v/>
      </c>
      <c r="C14" s="17">
        <f>C13*Inputs!$B$22</f>
        <v/>
      </c>
      <c r="D14" s="17">
        <f>D13*Inputs!$B$22</f>
        <v/>
      </c>
      <c r="E14" s="17">
        <f>E13*Inputs!$B$22</f>
        <v/>
      </c>
      <c r="F14" s="17">
        <f>F13*Inputs!$B$22</f>
        <v/>
      </c>
      <c r="G14" s="17">
        <f>G13*Inputs!$B$22</f>
        <v/>
      </c>
      <c r="H14" s="17">
        <f>H13*Inputs!$B$22</f>
        <v/>
      </c>
      <c r="I14" s="17">
        <f>I13*Inputs!$B$22</f>
        <v/>
      </c>
      <c r="J14" s="17">
        <f>J13*Inputs!$B$22</f>
        <v/>
      </c>
      <c r="K14" s="17">
        <f>K13*Inputs!$B$22</f>
        <v/>
      </c>
      <c r="L14" s="17">
        <f>L13*Inputs!$B$22</f>
        <v/>
      </c>
      <c r="M14" s="33">
        <f>M13*Inputs!$B$22</f>
        <v/>
      </c>
      <c r="N14" s="17">
        <f>N13*Inputs!$B$22</f>
        <v/>
      </c>
      <c r="O14" s="17">
        <f>O13*Inputs!$B$22</f>
        <v/>
      </c>
      <c r="P14" s="17">
        <f>P13*Inputs!$B$22</f>
        <v/>
      </c>
      <c r="Q14" s="17">
        <f>Q13*Inputs!$B$22</f>
        <v/>
      </c>
      <c r="R14" s="17">
        <f>R13*Inputs!$B$22</f>
        <v/>
      </c>
      <c r="S14" s="17">
        <f>S13*Inputs!$B$22</f>
        <v/>
      </c>
      <c r="T14" s="17">
        <f>T13*Inputs!$B$22</f>
        <v/>
      </c>
      <c r="U14" s="17">
        <f>U13*Inputs!$B$22</f>
        <v/>
      </c>
      <c r="V14" s="17">
        <f>V13*Inputs!$B$22</f>
        <v/>
      </c>
      <c r="W14" s="17">
        <f>W13*Inputs!$B$22</f>
        <v/>
      </c>
      <c r="X14" s="17">
        <f>X13*Inputs!$B$22</f>
        <v/>
      </c>
      <c r="Y14" s="17">
        <f>Y13*Inputs!$B$22</f>
        <v/>
      </c>
      <c r="Z14" s="21">
        <f>SUM(B14:Y14)</f>
        <v/>
      </c>
    </row>
    <row r="15">
      <c r="A15" s="3" t="inlineStr">
        <is>
          <t>Loans outstanding (end of month)</t>
        </is>
      </c>
      <c r="B15" s="17">
        <f>0+B10-B11</f>
        <v/>
      </c>
      <c r="C15" s="17">
        <f>B15+C10-C11</f>
        <v/>
      </c>
      <c r="D15" s="17">
        <f>C15+D10-D11</f>
        <v/>
      </c>
      <c r="E15" s="17">
        <f>D15+E10-E11</f>
        <v/>
      </c>
      <c r="F15" s="17">
        <f>E15+F10-F11</f>
        <v/>
      </c>
      <c r="G15" s="17">
        <f>F15+G10-G11</f>
        <v/>
      </c>
      <c r="H15" s="17">
        <f>G15+H10-H11</f>
        <v/>
      </c>
      <c r="I15" s="17">
        <f>H15+I10-I11</f>
        <v/>
      </c>
      <c r="J15" s="17">
        <f>I15+J10-J11</f>
        <v/>
      </c>
      <c r="K15" s="17">
        <f>J15+K10-K11</f>
        <v/>
      </c>
      <c r="L15" s="17">
        <f>K15+L10-L11</f>
        <v/>
      </c>
      <c r="M15" s="33">
        <f>L15+M10-M11</f>
        <v/>
      </c>
      <c r="N15" s="17">
        <f>M15+N10-N11</f>
        <v/>
      </c>
      <c r="O15" s="17">
        <f>N15+O10-O11</f>
        <v/>
      </c>
      <c r="P15" s="17">
        <f>O15+P10-P11</f>
        <v/>
      </c>
      <c r="Q15" s="17">
        <f>P15+Q10-Q11</f>
        <v/>
      </c>
      <c r="R15" s="17">
        <f>Q15+R10-R11</f>
        <v/>
      </c>
      <c r="S15" s="17">
        <f>R15+S10-S11</f>
        <v/>
      </c>
      <c r="T15" s="17">
        <f>S15+T10-T11</f>
        <v/>
      </c>
      <c r="U15" s="17">
        <f>T15+U10-U11</f>
        <v/>
      </c>
      <c r="V15" s="17">
        <f>U15+V10-V11</f>
        <v/>
      </c>
      <c r="W15" s="17">
        <f>V15+W10-W11</f>
        <v/>
      </c>
      <c r="X15" s="17">
        <f>W15+X10-X11</f>
        <v/>
      </c>
      <c r="Y15" s="17">
        <f>X15+Y10-Y11</f>
        <v/>
      </c>
    </row>
    <row r="16">
      <c r="A16" s="3" t="inlineStr">
        <is>
          <t>Fund cash on hand (end of month)</t>
        </is>
      </c>
      <c r="B16" s="17">
        <f>Inputs!$B$9-B10+B12+B14</f>
        <v/>
      </c>
      <c r="C16" s="17">
        <f>B16-C10+C12+C14</f>
        <v/>
      </c>
      <c r="D16" s="17">
        <f>C16-D10+D12+D14</f>
        <v/>
      </c>
      <c r="E16" s="17">
        <f>D16-E10+E12+E14</f>
        <v/>
      </c>
      <c r="F16" s="17">
        <f>E16-F10+F12+F14</f>
        <v/>
      </c>
      <c r="G16" s="17">
        <f>F16-G10+G12+G14</f>
        <v/>
      </c>
      <c r="H16" s="17">
        <f>G16-H10+H12+H14</f>
        <v/>
      </c>
      <c r="I16" s="17">
        <f>H16-I10+I12+I14</f>
        <v/>
      </c>
      <c r="J16" s="17">
        <f>I16-J10+J12+J14</f>
        <v/>
      </c>
      <c r="K16" s="17">
        <f>J16-K10+K12+K14</f>
        <v/>
      </c>
      <c r="L16" s="17">
        <f>K16-L10+L12+L14</f>
        <v/>
      </c>
      <c r="M16" s="33">
        <f>L16-M10+M12+M14</f>
        <v/>
      </c>
      <c r="N16" s="17">
        <f>M16-N10+N12+N14</f>
        <v/>
      </c>
      <c r="O16" s="17">
        <f>N16-O10+O12+O14</f>
        <v/>
      </c>
      <c r="P16" s="17">
        <f>O16-P10+P12+P14</f>
        <v/>
      </c>
      <c r="Q16" s="17">
        <f>P16-Q10+Q12+Q14</f>
        <v/>
      </c>
      <c r="R16" s="17">
        <f>Q16-R10+R12+R14</f>
        <v/>
      </c>
      <c r="S16" s="17">
        <f>R16-S10+S12+S14</f>
        <v/>
      </c>
      <c r="T16" s="17">
        <f>S16-T10+T12+T14</f>
        <v/>
      </c>
      <c r="U16" s="17">
        <f>T16-U10+U12+U14</f>
        <v/>
      </c>
      <c r="V16" s="17">
        <f>U16-V10+V12+V14</f>
        <v/>
      </c>
      <c r="W16" s="17">
        <f>V16-W10+W12+W14</f>
        <v/>
      </c>
      <c r="X16" s="17">
        <f>W16-X10+X12+X14</f>
        <v/>
      </c>
      <c r="Y16" s="17">
        <f>X16-Y10+Y12+Y14</f>
        <v/>
      </c>
    </row>
    <row r="17">
      <c r="A17" t="inlineStr">
        <is>
          <t>Cash + loans outstanding</t>
        </is>
      </c>
      <c r="B17" s="17">
        <f>B16+B15</f>
        <v/>
      </c>
      <c r="C17" s="17">
        <f>C16+C15</f>
        <v/>
      </c>
      <c r="D17" s="17">
        <f>D16+D15</f>
        <v/>
      </c>
      <c r="E17" s="17">
        <f>E16+E15</f>
        <v/>
      </c>
      <c r="F17" s="17">
        <f>F16+F15</f>
        <v/>
      </c>
      <c r="G17" s="17">
        <f>G16+G15</f>
        <v/>
      </c>
      <c r="H17" s="17">
        <f>H16+H15</f>
        <v/>
      </c>
      <c r="I17" s="17">
        <f>I16+I15</f>
        <v/>
      </c>
      <c r="J17" s="17">
        <f>J16+J15</f>
        <v/>
      </c>
      <c r="K17" s="17">
        <f>K16+K15</f>
        <v/>
      </c>
      <c r="L17" s="17">
        <f>L16+L15</f>
        <v/>
      </c>
      <c r="M17" s="33">
        <f>M16+M15</f>
        <v/>
      </c>
      <c r="N17" s="17">
        <f>N16+N15</f>
        <v/>
      </c>
      <c r="O17" s="17">
        <f>O16+O15</f>
        <v/>
      </c>
      <c r="P17" s="17">
        <f>P16+P15</f>
        <v/>
      </c>
      <c r="Q17" s="17">
        <f>Q16+Q15</f>
        <v/>
      </c>
      <c r="R17" s="17">
        <f>R16+R15</f>
        <v/>
      </c>
      <c r="S17" s="17">
        <f>S16+S15</f>
        <v/>
      </c>
      <c r="T17" s="17">
        <f>T16+T15</f>
        <v/>
      </c>
      <c r="U17" s="17">
        <f>U16+U15</f>
        <v/>
      </c>
      <c r="V17" s="17">
        <f>V16+V15</f>
        <v/>
      </c>
      <c r="W17" s="17">
        <f>W16+W15</f>
        <v/>
      </c>
      <c r="X17" s="17">
        <f>X16+X15</f>
        <v/>
      </c>
      <c r="Y17" s="17">
        <f>Y16+Y15</f>
        <v/>
      </c>
    </row>
    <row r="18">
      <c r="A18" s="26" t="inlineStr">
        <is>
          <t>(helper) month if cash is back to corpus</t>
        </is>
      </c>
      <c r="B18">
        <f>IF(B16&gt;=Inputs!$B$9-0.5,B5,999)</f>
        <v/>
      </c>
      <c r="C18">
        <f>IF(C16&gt;=Inputs!$B$9-0.5,C5,999)</f>
        <v/>
      </c>
      <c r="D18">
        <f>IF(D16&gt;=Inputs!$B$9-0.5,D5,999)</f>
        <v/>
      </c>
      <c r="E18">
        <f>IF(E16&gt;=Inputs!$B$9-0.5,E5,999)</f>
        <v/>
      </c>
      <c r="F18">
        <f>IF(F16&gt;=Inputs!$B$9-0.5,F5,999)</f>
        <v/>
      </c>
      <c r="G18">
        <f>IF(G16&gt;=Inputs!$B$9-0.5,G5,999)</f>
        <v/>
      </c>
      <c r="H18">
        <f>IF(H16&gt;=Inputs!$B$9-0.5,H5,999)</f>
        <v/>
      </c>
      <c r="I18">
        <f>IF(I16&gt;=Inputs!$B$9-0.5,I5,999)</f>
        <v/>
      </c>
      <c r="J18">
        <f>IF(J16&gt;=Inputs!$B$9-0.5,J5,999)</f>
        <v/>
      </c>
      <c r="K18">
        <f>IF(K16&gt;=Inputs!$B$9-0.5,K5,999)</f>
        <v/>
      </c>
      <c r="L18">
        <f>IF(L16&gt;=Inputs!$B$9-0.5,L5,999)</f>
        <v/>
      </c>
      <c r="M18" s="30">
        <f>IF(M16&gt;=Inputs!$B$9-0.5,M5,999)</f>
        <v/>
      </c>
      <c r="N18">
        <f>IF(N16&gt;=Inputs!$B$9-0.5,N5,999)</f>
        <v/>
      </c>
      <c r="O18">
        <f>IF(O16&gt;=Inputs!$B$9-0.5,O5,999)</f>
        <v/>
      </c>
      <c r="P18">
        <f>IF(P16&gt;=Inputs!$B$9-0.5,P5,999)</f>
        <v/>
      </c>
      <c r="Q18">
        <f>IF(Q16&gt;=Inputs!$B$9-0.5,Q5,999)</f>
        <v/>
      </c>
      <c r="R18">
        <f>IF(R16&gt;=Inputs!$B$9-0.5,R5,999)</f>
        <v/>
      </c>
      <c r="S18">
        <f>IF(S16&gt;=Inputs!$B$9-0.5,S5,999)</f>
        <v/>
      </c>
      <c r="T18">
        <f>IF(T16&gt;=Inputs!$B$9-0.5,T5,999)</f>
        <v/>
      </c>
      <c r="U18">
        <f>IF(U16&gt;=Inputs!$B$9-0.5,U5,999)</f>
        <v/>
      </c>
      <c r="V18">
        <f>IF(V16&gt;=Inputs!$B$9-0.5,V5,999)</f>
        <v/>
      </c>
      <c r="W18">
        <f>IF(W16&gt;=Inputs!$B$9-0.5,W5,999)</f>
        <v/>
      </c>
      <c r="X18">
        <f>IF(X16&gt;=Inputs!$B$9-0.5,X5,999)</f>
        <v/>
      </c>
      <c r="Y18">
        <f>IF(Y16&gt;=Inputs!$B$9-0.5,Y5,999)</f>
        <v/>
      </c>
    </row>
    <row r="20">
      <c r="A20" s="5" t="inlineStr">
        <is>
          <t>YEAR-END SNAPSHOT (end of month 12)</t>
        </is>
      </c>
      <c r="B20" s="6" t="n"/>
      <c r="C20" s="6" t="n"/>
      <c r="D20" s="6" t="n"/>
    </row>
    <row r="21">
      <c r="A21" t="inlineStr">
        <is>
          <t>Fund cash on hand at month 12</t>
        </is>
      </c>
      <c r="B21" s="21">
        <f>M16</f>
        <v/>
      </c>
    </row>
    <row r="22">
      <c r="A22" t="inlineStr">
        <is>
          <t>Money still out on loan at month 12 (repaid in year 2)</t>
        </is>
      </c>
      <c r="B22" s="21">
        <f>M15</f>
        <v/>
      </c>
    </row>
    <row r="23">
      <c r="A23" t="inlineStr">
        <is>
          <t>Cash + loans still out</t>
        </is>
      </c>
      <c r="B23" s="21">
        <f>M17</f>
        <v/>
      </c>
    </row>
    <row r="24">
      <c r="A24" t="inlineStr">
        <is>
          <t>Share of corpus back as cash at month 12</t>
        </is>
      </c>
      <c r="B24" s="22">
        <f>M16/Inputs!$B$9</f>
        <v/>
      </c>
    </row>
    <row r="25">
      <c r="A25" t="inlineStr">
        <is>
          <t>Total loans made in year 1 (incl. re-lending)</t>
        </is>
      </c>
      <c r="B25" s="21">
        <f>SUM(B10:M10)</f>
        <v/>
      </c>
    </row>
    <row r="26">
      <c r="A26" t="inlineStr">
        <is>
          <t>Times the corpus was lent in year 1 (turnover)</t>
        </is>
      </c>
      <c r="B26" s="23">
        <f>SUM(B10:M10)/Inputs!$B$9</f>
        <v/>
      </c>
    </row>
    <row r="27">
      <c r="A27" t="inlineStr">
        <is>
          <t>First month the corpus is fully back as cash</t>
        </is>
      </c>
      <c r="B27" s="34">
        <f>IF(MIN(B18:Y18)=999,"Not within 24 months (defaults not covered)",MIN(B18:Y18))</f>
        <v/>
      </c>
    </row>
    <row r="28">
      <c r="A28" t="inlineStr">
        <is>
          <t>Fund cash at month 24 (all loans closed)</t>
        </is>
      </c>
      <c r="B28" s="21">
        <f>Y16</f>
        <v/>
      </c>
    </row>
    <row r="29">
      <c r="A29" t="inlineStr">
        <is>
          <t>Check: new-loan % adds to 100%</t>
        </is>
      </c>
      <c r="B29" s="35">
        <f>IF(ABS(Z7-1)&lt;0.0001,"OK","ERROR: adjust row 7")</f>
        <v/>
      </c>
    </row>
    <row r="30">
      <c r="A30" t="inlineStr">
        <is>
          <t>Check: no new loans after the last lending month</t>
        </is>
      </c>
      <c r="B30" s="35">
        <f>IF(SUMPRODUCT((B5:M5&gt;Inputs!$B$18)*B7:M7)&gt;0,"WARNING: some % is after the last lending month and is ignored","OK")</f>
        <v/>
      </c>
    </row>
    <row r="32">
      <c r="A32" t="inlineStr">
        <is>
          <t>Note: fund cash counts principal repaid plus the default-budget share of interest. Other interest shares go to TAMISEMI, region, LGA and the lender. The thick line marks year end.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55" customWidth="1" min="3" max="3"/>
    <col width="9" customWidth="1" min="4" max="4"/>
    <col width="40" customWidth="1" min="5" max="5"/>
  </cols>
  <sheetData>
    <row r="1">
      <c r="A1" s="1" t="inlineStr">
        <is>
          <t>Open questions</t>
        </is>
      </c>
    </row>
    <row r="2">
      <c r="A2" s="2" t="inlineStr">
        <is>
          <t>To settle before the model uses real figures.</t>
        </is>
      </c>
    </row>
    <row r="4">
      <c r="A4" s="4" t="inlineStr">
        <is>
          <t>#</t>
        </is>
      </c>
      <c r="B4" s="4" t="inlineStr">
        <is>
          <t>Question</t>
        </is>
      </c>
      <c r="C4" s="4" t="inlineStr">
        <is>
          <t>Why it matters</t>
        </is>
      </c>
      <c r="D4" s="4" t="inlineStr">
        <is>
          <t>Added in</t>
        </is>
      </c>
      <c r="E4" s="4" t="inlineStr">
        <is>
          <t>Answer</t>
        </is>
      </c>
    </row>
    <row r="5">
      <c r="A5" s="36" t="n">
        <v>1</v>
      </c>
      <c r="B5" s="36" t="inlineStr">
        <is>
          <t>Is the Loan:Savings cap on the loan itself (loan must not exceed 0.5 x the CMG's savings)?</t>
        </is>
      </c>
      <c r="C5" s="36" t="inlineStr">
        <is>
          <t>Sets the loan cap per CMG on the Districts sheet.</t>
        </is>
      </c>
      <c r="D5" s="36" t="inlineStr">
        <is>
          <t>v0.1</t>
        </is>
      </c>
      <c r="E5" s="37" t="inlineStr"/>
    </row>
    <row r="6">
      <c r="A6" s="36" t="n">
        <v>2</v>
      </c>
      <c r="B6" s="36" t="inlineStr">
        <is>
          <t>Is interest flat or on the reducing balance? What is TAMISEMI's interest ceiling?</t>
        </is>
      </c>
      <c r="C6" s="36" t="inlineStr">
        <is>
          <t>Drives all interest income, and so the default budget.</t>
        </is>
      </c>
      <c r="D6" s="36" t="inlineStr">
        <is>
          <t>v0.1</t>
        </is>
      </c>
      <c r="E6" s="37" t="inlineStr"/>
    </row>
    <row r="7">
      <c r="A7" s="36" t="n">
        <v>3</v>
      </c>
      <c r="B7" s="36" t="inlineStr">
        <is>
          <t>Are the TAMISEMI, region and LGA amounts a % of interest, or a % of the loan amount?</t>
        </is>
      </c>
      <c r="C7" s="36" t="inlineStr">
        <is>
          <t>Changes how much interest is left for the default budget and the lender.</t>
        </is>
      </c>
      <c r="D7" s="36" t="inlineStr">
        <is>
          <t>v0.1</t>
        </is>
      </c>
      <c r="E7" s="37" t="inlineStr"/>
    </row>
    <row r="8">
      <c r="A8" s="36" t="n">
        <v>4</v>
      </c>
      <c r="B8" s="36" t="inlineStr">
        <is>
          <t>Can repayments be lent out again in the same year? If yes, to whom: new CMGs or second loans to the same CMGs?</t>
        </is>
      </c>
      <c r="C8" s="36" t="inlineStr">
        <is>
          <t>Re-lending raises total lending but ties money up longer; the Districts sheet only allocates the first round.</t>
        </is>
      </c>
      <c r="D8" s="36" t="inlineStr">
        <is>
          <t>v0.1</t>
        </is>
      </c>
      <c r="E8" s="37" t="inlineStr"/>
    </row>
    <row r="9">
      <c r="A9" s="36" t="n">
        <v>5</v>
      </c>
      <c r="B9" s="36" t="inlineStr">
        <is>
          <t>Are the $2m lender and $2m CMG incentive pots paid in full each year, or spread over several years?</t>
        </is>
      </c>
      <c r="C9" s="36" t="inlineStr">
        <is>
          <t>Decides whether the corpus stays at $20m every year.</t>
        </is>
      </c>
      <c r="D9" s="36" t="inlineStr">
        <is>
          <t>v0.1</t>
        </is>
      </c>
      <c r="E9" s="37" t="inlineStr"/>
    </row>
    <row r="10">
      <c r="A10" s="36" t="n">
        <v>6</v>
      </c>
      <c r="B10" s="36" t="inlineStr">
        <is>
          <t>When does TAMISEMI's annual cycle end (e.g. financial year July-June)? At that date, must the corpus be back as CASH, or can loans still running count?</t>
        </is>
      </c>
      <c r="C10" s="36" t="inlineStr">
        <is>
          <t>With lending across the cycle and tenures up to 12 months, some money is always out on loan at year end.</t>
        </is>
      </c>
      <c r="D10" s="36" t="inlineStr">
        <is>
          <t>v0.2</t>
        </is>
      </c>
      <c r="E10" s="37" t="inlineStr"/>
    </row>
    <row r="11">
      <c r="A11" s="36" t="n">
        <v>7</v>
      </c>
      <c r="B11" s="36" t="inlineStr">
        <is>
          <t>Do CMG savings cycles start in different months (staggered), or all at once?</t>
        </is>
      </c>
      <c r="C11" s="36" t="inlineStr">
        <is>
          <t>A loan must end before the CMG's share-out, so a 12-month loan only fits a CMG that borrows at the very start of its cycle.</t>
        </is>
      </c>
      <c r="D11" s="36" t="inlineStr">
        <is>
          <t>v0.2</t>
        </is>
      </c>
      <c r="E11" s="37" t="inlineStr"/>
    </row>
    <row r="12">
      <c r="A12" s="36" t="n">
        <v>8</v>
      </c>
      <c r="B12" s="36" t="inlineStr">
        <is>
          <t>With the lender discount removed, is the lender's only income the interest margin plus the lender incentives? Does the lender pay anything for the TAMISEMI advance?</t>
        </is>
      </c>
      <c r="C12" s="36" t="inlineStr">
        <is>
          <t>Shows whether lending is worth it for the lender.</t>
        </is>
      </c>
      <c r="D12" s="36" t="inlineStr">
        <is>
          <t>v0.2</t>
        </is>
      </c>
      <c r="E12" s="37" t="inlineStr"/>
    </row>
    <row r="13">
      <c r="A13" s="36" t="n">
        <v>9</v>
      </c>
      <c r="B13" s="36" t="inlineStr">
        <is>
          <t>Should the 15-working-day disbursement rule apply to each new advance across the cycle, not only the first?</t>
        </is>
      </c>
      <c r="C13" s="36" t="inlineStr">
        <is>
          <t>Sets how fast money can go out each month.</t>
        </is>
      </c>
      <c r="D13" s="36" t="inlineStr">
        <is>
          <t>v0.2</t>
        </is>
      </c>
      <c r="E13" s="37" t="inlineStr"/>
    </row>
    <row r="14">
      <c r="A14" s="36" t="n">
        <v>10</v>
      </c>
      <c r="B14" s="36" t="inlineStr">
        <is>
          <t>Are defaulted loans written off at maturity, or chased into the next year (recoveries)?</t>
        </is>
      </c>
      <c r="C14" s="36" t="inlineStr">
        <is>
          <t>Recoveries would add money back to the corpus later.</t>
        </is>
      </c>
      <c r="D14" s="36" t="inlineStr">
        <is>
          <t>v0.2</t>
        </is>
      </c>
      <c r="E14" s="37" t="inlineStr"/>
    </row>
    <row r="15">
      <c r="A15" s="36" t="n">
        <v>11</v>
      </c>
      <c r="B15" s="36" t="inlineStr">
        <is>
          <t>Who should be able to edit the 'PAMOJA Model Inputs' GUI, and does each district need its own editor?</t>
        </is>
      </c>
      <c r="C15" s="36" t="inlineStr">
        <is>
          <t>The GUI page is currently shared only with its owner; wider access needs a deliberate share decision.</t>
        </is>
      </c>
      <c r="D15" s="36" t="inlineStr">
        <is>
          <t>v0.3</t>
        </is>
      </c>
      <c r="E15" s="3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Glossary</t>
        </is>
      </c>
    </row>
    <row r="2">
      <c r="A2" s="2" t="inlineStr">
        <is>
          <t>Acronyms and terms used in this model.</t>
        </is>
      </c>
    </row>
    <row r="4">
      <c r="A4" s="4" t="inlineStr">
        <is>
          <t>Term</t>
        </is>
      </c>
      <c r="B4" s="4" t="inlineStr">
        <is>
          <t>Meaning</t>
        </is>
      </c>
    </row>
    <row r="5">
      <c r="A5" s="3" t="inlineStr">
        <is>
          <t>Advance</t>
        </is>
      </c>
      <c r="B5" t="inlineStr">
        <is>
          <t>Money TAMISEMI sends a lender ahead of lending, based on the CMG pool allocated to that lender.</t>
        </is>
      </c>
    </row>
    <row r="6">
      <c r="A6" s="3" t="inlineStr">
        <is>
          <t>Allocation</t>
        </is>
      </c>
      <c r="B6" t="inlineStr">
        <is>
          <t>The share of the lending corpus given to a district, based on its loan demand.</t>
        </is>
      </c>
    </row>
    <row r="7">
      <c r="A7" s="3" t="inlineStr">
        <is>
          <t>Annual cycle</t>
        </is>
      </c>
      <c r="B7" t="inlineStr">
        <is>
          <t>The CMG's savings year. Loans must be repaid before the share-out at the end.</t>
        </is>
      </c>
    </row>
    <row r="8">
      <c r="A8" s="3" t="inlineStr">
        <is>
          <t>Break-even default rate</t>
        </is>
      </c>
      <c r="B8" t="inlineStr">
        <is>
          <t>The highest default rate the default budget can cover and still restore the corpus.</t>
        </is>
      </c>
    </row>
    <row r="9">
      <c r="A9" s="3" t="inlineStr">
        <is>
          <t>CMG</t>
        </is>
      </c>
      <c r="B9" t="inlineStr">
        <is>
          <t>Community Microfinance Group: a savings group whose members save and lend to each other.</t>
        </is>
      </c>
    </row>
    <row r="10">
      <c r="A10" s="3" t="inlineStr">
        <is>
          <t>Corpus</t>
        </is>
      </c>
      <c r="B10" t="inlineStr">
        <is>
          <t>The pool of money available to lend ($24m less the $4m set aside for incentives).</t>
        </is>
      </c>
    </row>
    <row r="11">
      <c r="A11" s="3" t="inlineStr">
        <is>
          <t>Default</t>
        </is>
      </c>
      <c r="B11" t="inlineStr">
        <is>
          <t>A loan, or part of a loan, that is not repaid.</t>
        </is>
      </c>
    </row>
    <row r="12">
      <c r="A12" s="3" t="inlineStr">
        <is>
          <t>Default budget / loss reserve</t>
        </is>
      </c>
      <c r="B12" t="inlineStr">
        <is>
          <t>The share of interest set aside to cover defaults.</t>
        </is>
      </c>
    </row>
    <row r="13">
      <c r="A13" s="3" t="inlineStr">
        <is>
          <t>Demand</t>
        </is>
      </c>
      <c r="B13" t="inlineStr">
        <is>
          <t>Number of CMGs x loan per CMG, before any scaling down.</t>
        </is>
      </c>
    </row>
    <row r="14">
      <c r="A14" s="3" t="inlineStr">
        <is>
          <t>Flat interest</t>
        </is>
      </c>
      <c r="B14" t="inlineStr">
        <is>
          <t>Interest worked out on the full loan amount for the whole term, not on the falling balance.</t>
        </is>
      </c>
    </row>
    <row r="15">
      <c r="A15" s="3" t="inlineStr">
        <is>
          <t>Incentive</t>
        </is>
      </c>
      <c r="B15" t="inlineStr">
        <is>
          <t>A payment to reward good results (lenders: lending well; CMGs: on-time repayment).</t>
        </is>
      </c>
    </row>
    <row r="16">
      <c r="A16" s="3" t="inlineStr">
        <is>
          <t>Instalment</t>
        </is>
      </c>
      <c r="B16" t="inlineStr">
        <is>
          <t>One of the equal monthly repayments of a loan.</t>
        </is>
      </c>
    </row>
    <row r="17">
      <c r="A17" s="3" t="inlineStr">
        <is>
          <t>Lender margin</t>
        </is>
      </c>
      <c r="B17" t="inlineStr">
        <is>
          <t>The share of interest the lender keeps after all other shares are paid.</t>
        </is>
      </c>
    </row>
    <row r="18">
      <c r="A18" s="3" t="inlineStr">
        <is>
          <t>LGA</t>
        </is>
      </c>
      <c r="B18" t="inlineStr">
        <is>
          <t>Local Government Authority: the district or council.</t>
        </is>
      </c>
    </row>
    <row r="19">
      <c r="A19" s="3" t="inlineStr">
        <is>
          <t>Loan:Savings ratio</t>
        </is>
      </c>
      <c r="B19" t="inlineStr">
        <is>
          <t>Loan amount divided by the CMG's savings. Capped by the maximum ratio input.</t>
        </is>
      </c>
    </row>
    <row r="20">
      <c r="A20" s="3" t="inlineStr">
        <is>
          <t>Portfolio default rate</t>
        </is>
      </c>
      <c r="B20" t="inlineStr">
        <is>
          <t>Defaulted principal as a % of all loans made.</t>
        </is>
      </c>
    </row>
    <row r="21">
      <c r="A21" s="3" t="inlineStr">
        <is>
          <t>Principal</t>
        </is>
      </c>
      <c r="B21" t="inlineStr">
        <is>
          <t>The amount lent, not counting interest.</t>
        </is>
      </c>
    </row>
    <row r="22">
      <c r="A22" s="3" t="inlineStr">
        <is>
          <t>Re-lending / revolving fund</t>
        </is>
      </c>
      <c r="B22" t="inlineStr">
        <is>
          <t>Lending repayments out again instead of holding them as cash.</t>
        </is>
      </c>
    </row>
    <row r="23">
      <c r="A23" s="3" t="inlineStr">
        <is>
          <t>Run-off</t>
        </is>
      </c>
      <c r="B23" t="inlineStr">
        <is>
          <t>The period after lending stops, while loans already made are being repaid.</t>
        </is>
      </c>
    </row>
    <row r="24">
      <c r="A24" s="3" t="inlineStr">
        <is>
          <t>Scale factor</t>
        </is>
      </c>
      <c r="B24" t="inlineStr">
        <is>
          <t>The % of demand that can be met when demand is more than the corpus.</t>
        </is>
      </c>
    </row>
    <row r="25">
      <c r="A25" s="3" t="inlineStr">
        <is>
          <t>Share-out</t>
        </is>
      </c>
      <c r="B25" t="inlineStr">
        <is>
          <t>When the CMG shares its savings and profits among members at the end of the cycle.</t>
        </is>
      </c>
    </row>
    <row r="26">
      <c r="A26" s="3" t="inlineStr">
        <is>
          <t>TAMISEMI</t>
        </is>
      </c>
      <c r="B26" t="inlineStr">
        <is>
          <t>President's Office - Regional Administration and Local Government (Tanzania). Funds PAMOJA.</t>
        </is>
      </c>
    </row>
    <row r="27">
      <c r="A27" s="3" t="inlineStr">
        <is>
          <t>Tenure / term</t>
        </is>
      </c>
      <c r="B27" t="inlineStr">
        <is>
          <t>How long a loan runs, in months, from disbursement to the last instalment.</t>
        </is>
      </c>
    </row>
    <row r="28">
      <c r="A28" s="3" t="inlineStr">
        <is>
          <t>Turnover</t>
        </is>
      </c>
      <c r="B28" t="inlineStr">
        <is>
          <t>Total loans made in a year divided by the corpus: how many times the money was lent.</t>
        </is>
      </c>
    </row>
    <row r="29">
      <c r="A29" s="3" t="inlineStr">
        <is>
          <t>TZS / USD</t>
        </is>
      </c>
      <c r="B29" t="inlineStr">
        <is>
          <t>Tanzanian shilling / United States dollar.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2026-09-28T04:08:23Z</dcterms:created>
  <dcterms:modified xsi:type="dcterms:W3CDTF">2026-09-28T04:08:23Z</dcterms:modified>
</cp:coreProperties>
</file>