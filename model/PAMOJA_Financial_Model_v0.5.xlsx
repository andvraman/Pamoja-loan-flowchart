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puts" sheetId="2" state="visible" r:id="rId2"/>
    <sheet name="Districts" sheetId="3" state="visible" r:id="rId3"/>
    <sheet name="Fund flow" sheetId="4" state="visible" r:id="rId4"/>
    <sheet name="Monthly cycle" sheetId="5" state="visible" r:id="rId5"/>
    <sheet name="Pilot districts" sheetId="6" state="visible" r:id="rId6"/>
    <sheet name="District timeline" sheetId="7" state="visible" r:id="rId7"/>
    <sheet name="Corpus rollout" sheetId="8" state="visible" r:id="rId8"/>
    <sheet name="Open questions" sheetId="9" state="visible" r:id="rId9"/>
    <sheet name="Glossary" sheetId="10" state="visible" r:id="rId10"/>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
  </numFmts>
  <fonts count="7">
    <font>
      <name val="Calibri"/>
      <family val="2"/>
      <color theme="1"/>
      <sz val="11"/>
      <scheme val="minor"/>
    </font>
    <font>
      <b val="1"/>
      <color rgb="001C5A3F"/>
      <sz val="14"/>
    </font>
    <font>
      <i val="1"/>
      <color rgb="005B6B60"/>
    </font>
    <font>
      <b val="1"/>
    </font>
    <font>
      <b val="1"/>
      <color rgb="00FFFFFF"/>
    </font>
    <font>
      <color rgb="000000FF"/>
    </font>
    <font>
      <i val="1"/>
      <color rgb="008A978C"/>
    </font>
  </fonts>
  <fills count="6">
    <fill>
      <patternFill/>
    </fill>
    <fill>
      <patternFill patternType="gray125"/>
    </fill>
    <fill>
      <patternFill patternType="solid">
        <fgColor rgb="001C5A3F"/>
      </patternFill>
    </fill>
    <fill>
      <patternFill patternType="solid">
        <fgColor rgb="00DCEBE1"/>
      </patternFill>
    </fill>
    <fill>
      <patternFill patternType="solid">
        <fgColor rgb="00FFF2CC"/>
      </patternFill>
    </fill>
    <fill>
      <patternFill patternType="solid">
        <fgColor rgb="00EEEEEE"/>
      </patternFill>
    </fill>
  </fills>
  <borders count="3">
    <border>
      <left/>
      <right/>
      <top/>
      <bottom/>
      <diagonal/>
    </border>
    <border>
      <left style="thin">
        <color rgb="00C6CDBE"/>
      </left>
      <right style="thin">
        <color rgb="00C6CDBE"/>
      </right>
      <top style="thin">
        <color rgb="00C6CDBE"/>
      </top>
      <bottom style="thin">
        <color rgb="00C6CDBE"/>
      </bottom>
    </border>
    <border>
      <right style="thick">
        <color rgb="001C5A3F"/>
      </right>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3" fillId="3" borderId="0" pivotButton="0" quotePrefix="0" xfId="0"/>
    <xf numFmtId="0" fontId="0" fillId="3" borderId="0" pivotButton="0" quotePrefix="0" xfId="0"/>
    <xf numFmtId="164" fontId="5" fillId="4" borderId="1" pivotButton="0" quotePrefix="0" xfId="0"/>
    <xf numFmtId="164" fontId="3" fillId="0" borderId="1" pivotButton="0" quotePrefix="0" xfId="0"/>
    <xf numFmtId="2" fontId="5" fillId="4" borderId="1" pivotButton="0" quotePrefix="0" xfId="0"/>
    <xf numFmtId="165" fontId="5" fillId="4" borderId="1" pivotButton="0" quotePrefix="0" xfId="0"/>
    <xf numFmtId="1" fontId="5" fillId="4" borderId="1" pivotButton="0" quotePrefix="0" xfId="0"/>
    <xf numFmtId="49" fontId="3" fillId="0" borderId="1" pivotButton="0" quotePrefix="0" xfId="0"/>
    <xf numFmtId="1" fontId="3" fillId="0" borderId="1" pivotButton="0" quotePrefix="0" xfId="0"/>
    <xf numFmtId="165" fontId="3" fillId="0" borderId="1" pivotButton="0" quotePrefix="0" xfId="0"/>
    <xf numFmtId="0" fontId="0" fillId="4" borderId="0" pivotButton="0" quotePrefix="0" xfId="0"/>
    <xf numFmtId="3" fontId="5" fillId="4" borderId="1" pivotButton="0" quotePrefix="0" xfId="0"/>
    <xf numFmtId="164" fontId="0" fillId="0" borderId="0" pivotButton="0" quotePrefix="0" xfId="0"/>
    <xf numFmtId="2" fontId="0" fillId="0" borderId="0" pivotButton="0" quotePrefix="0" xfId="0"/>
    <xf numFmtId="165" fontId="0" fillId="0" borderId="0" pivotButton="0" quotePrefix="0" xfId="0"/>
    <xf numFmtId="3" fontId="3" fillId="0" borderId="0" pivotButton="0" quotePrefix="0" xfId="0"/>
    <xf numFmtId="164" fontId="3" fillId="0" borderId="0" pivotButton="0" quotePrefix="0" xfId="0"/>
    <xf numFmtId="165" fontId="3" fillId="0" borderId="0" pivotButton="0" quotePrefix="0" xfId="0"/>
    <xf numFmtId="2" fontId="3" fillId="0" borderId="0" pivotButton="0" quotePrefix="0" xfId="0"/>
    <xf numFmtId="164" fontId="0" fillId="0" borderId="1" pivotButton="0" quotePrefix="0" xfId="0"/>
    <xf numFmtId="165" fontId="0" fillId="0" borderId="1" pivotButton="0" quotePrefix="0" xfId="0"/>
    <xf numFmtId="0" fontId="6" fillId="0" borderId="0" pivotButton="0" quotePrefix="0" xfId="0"/>
    <xf numFmtId="49" fontId="0" fillId="0" borderId="1" pivotButton="0" quotePrefix="0" xfId="0"/>
    <xf numFmtId="1" fontId="0" fillId="0" borderId="1" pivotButton="0" quotePrefix="0" xfId="0"/>
    <xf numFmtId="0" fontId="3" fillId="0" borderId="2" pivotButton="0" quotePrefix="0" xfId="0"/>
    <xf numFmtId="0" fontId="0" fillId="0" borderId="2" pivotButton="0" quotePrefix="0" xfId="0"/>
    <xf numFmtId="165" fontId="5" fillId="4" borderId="2" pivotButton="0" quotePrefix="0" xfId="0"/>
    <xf numFmtId="165" fontId="0" fillId="5" borderId="0" pivotButton="0" quotePrefix="0" xfId="0"/>
    <xf numFmtId="164" fontId="0" fillId="0" borderId="2" pivotButton="0" quotePrefix="0" xfId="0"/>
    <xf numFmtId="1" fontId="3" fillId="0" borderId="0" pivotButton="0" quotePrefix="0" xfId="0"/>
    <xf numFmtId="49" fontId="3" fillId="0" borderId="0" pivotButton="0" quotePrefix="0" xfId="0"/>
    <xf numFmtId="2" fontId="3" fillId="0" borderId="1" pivotButton="0" quotePrefix="0" xfId="0"/>
    <xf numFmtId="3" fontId="0" fillId="0" borderId="0" pivotButton="0" quotePrefix="0" xfId="0"/>
    <xf numFmtId="0" fontId="5" fillId="4" borderId="1" pivotButton="0" quotePrefix="0" xfId="0"/>
    <xf numFmtId="3" fontId="0" fillId="0" borderId="1" pivotButton="0" quotePrefix="0" xfId="0"/>
    <xf numFmtId="1" fontId="0" fillId="0"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Year 1: money not lent, repaid, and interest earned</a:t>
            </a:r>
          </a:p>
        </rich>
      </tx>
    </title>
    <plotArea>
      <barChart>
        <barDir val="col"/>
        <grouping val="clustered"/>
        <ser>
          <idx val="0"/>
          <order val="0"/>
          <spPr>
            <a:ln>
              <a:prstDash val="solid"/>
            </a:ln>
          </spPr>
          <cat>
            <numRef>
              <f>'Fund flow'!$F$41:$F$43</f>
            </numRef>
          </cat>
          <val>
            <numRef>
              <f>'Fund flow'!$G$41:$G$43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Gridlines/>
        <title>
          <tx>
            <rich>
              <a:bodyPr/>
              <a:p>
                <a:pPr>
                  <a:defRPr/>
                </a:pPr>
                <a:r>
                  <a:t>USD</a:t>
                </a:r>
              </a:p>
            </rich>
          </tx>
        </title>
        <numFmt formatCode="&quot;$&quot;#,##0;[Red]-&quot;$&quot;#,##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Weekly cascade for the selected district</a:t>
            </a:r>
          </a:p>
        </rich>
      </tx>
    </title>
    <plotArea>
      <lineChart>
        <grouping val="standard"/>
        <ser>
          <idx val="0"/>
          <order val="0"/>
          <tx>
            <strRef>
              <f>'District timeline'!F19</f>
            </strRef>
          </tx>
          <spPr>
            <a:ln>
              <a:prstDash val="solid"/>
            </a:ln>
          </spPr>
          <marker>
            <symbol val="none"/>
            <spPr>
              <a:ln>
                <a:prstDash val="solid"/>
              </a:ln>
            </spPr>
          </marker>
          <cat>
            <numRef>
              <f>'District timeline'!$A$20:$A$123</f>
            </numRef>
          </cat>
          <val>
            <numRef>
              <f>'District timeline'!$F$20:$F$123</f>
            </numRef>
          </val>
        </ser>
        <ser>
          <idx val="1"/>
          <order val="1"/>
          <tx>
            <strRef>
              <f>'District timeline'!K19</f>
            </strRef>
          </tx>
          <spPr>
            <a:ln>
              <a:prstDash val="solid"/>
            </a:ln>
          </spPr>
          <marker>
            <symbol val="none"/>
            <spPr>
              <a:ln>
                <a:prstDash val="solid"/>
              </a:ln>
            </spPr>
          </marker>
          <cat>
            <numRef>
              <f>'District timeline'!$A$20:$A$123</f>
            </numRef>
          </cat>
          <val>
            <numRef>
              <f>'District timeline'!$K$20:$K$123</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USD</a:t>
                </a:r>
              </a:p>
            </rich>
          </tx>
        </title>
        <numFmt formatCode="&quot;$&quot;#,##0;[Red]-&quot;$&quot;#,##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Capital disbursed by district</a:t>
            </a:r>
          </a:p>
        </rich>
      </tx>
    </title>
    <plotArea>
      <lineChart>
        <grouping val="standard"/>
        <ser>
          <idx val="0"/>
          <order val="0"/>
          <tx>
            <strRef>
              <f>'Corpus rollout'!B22</f>
            </strRef>
          </tx>
          <spPr>
            <a:ln>
              <a:prstDash val="solid"/>
            </a:ln>
          </spPr>
          <marker>
            <symbol val="none"/>
            <spPr>
              <a:ln>
                <a:prstDash val="solid"/>
              </a:ln>
            </spPr>
          </marker>
          <cat>
            <numRef>
              <f>'Corpus rollout'!$A$23:$A$126</f>
            </numRef>
          </cat>
          <val>
            <numRef>
              <f>'Corpus rollout'!$B$23:$B$126</f>
            </numRef>
          </val>
        </ser>
        <ser>
          <idx val="1"/>
          <order val="1"/>
          <tx>
            <strRef>
              <f>'Corpus rollout'!C22</f>
            </strRef>
          </tx>
          <spPr>
            <a:ln>
              <a:prstDash val="solid"/>
            </a:ln>
          </spPr>
          <marker>
            <symbol val="none"/>
            <spPr>
              <a:ln>
                <a:prstDash val="solid"/>
              </a:ln>
            </spPr>
          </marker>
          <cat>
            <numRef>
              <f>'Corpus rollout'!$A$23:$A$126</f>
            </numRef>
          </cat>
          <val>
            <numRef>
              <f>'Corpus rollout'!$C$23:$C$126</f>
            </numRef>
          </val>
        </ser>
        <ser>
          <idx val="2"/>
          <order val="2"/>
          <tx>
            <strRef>
              <f>'Corpus rollout'!D22</f>
            </strRef>
          </tx>
          <spPr>
            <a:ln>
              <a:prstDash val="solid"/>
            </a:ln>
          </spPr>
          <marker>
            <symbol val="none"/>
            <spPr>
              <a:ln>
                <a:prstDash val="solid"/>
              </a:ln>
            </spPr>
          </marker>
          <cat>
            <numRef>
              <f>'Corpus rollout'!$A$23:$A$126</f>
            </numRef>
          </cat>
          <val>
            <numRef>
              <f>'Corpus rollout'!$D$23:$D$126</f>
            </numRef>
          </val>
        </ser>
        <ser>
          <idx val="3"/>
          <order val="3"/>
          <tx>
            <strRef>
              <f>'Corpus rollout'!E22</f>
            </strRef>
          </tx>
          <spPr>
            <a:ln>
              <a:prstDash val="solid"/>
            </a:ln>
          </spPr>
          <marker>
            <symbol val="none"/>
            <spPr>
              <a:ln>
                <a:prstDash val="solid"/>
              </a:ln>
            </spPr>
          </marker>
          <cat>
            <numRef>
              <f>'Corpus rollout'!$A$23:$A$126</f>
            </numRef>
          </cat>
          <val>
            <numRef>
              <f>'Corpus rollout'!$E$23:$E$126</f>
            </numRef>
          </val>
        </ser>
        <ser>
          <idx val="4"/>
          <order val="4"/>
          <tx>
            <strRef>
              <f>'Corpus rollout'!F22</f>
            </strRef>
          </tx>
          <spPr>
            <a:ln>
              <a:prstDash val="solid"/>
            </a:ln>
          </spPr>
          <marker>
            <symbol val="none"/>
            <spPr>
              <a:ln>
                <a:prstDash val="solid"/>
              </a:ln>
            </spPr>
          </marker>
          <cat>
            <numRef>
              <f>'Corpus rollout'!$A$23:$A$126</f>
            </numRef>
          </cat>
          <val>
            <numRef>
              <f>'Corpus rollout'!$F$23:$F$126</f>
            </numRef>
          </val>
        </ser>
        <ser>
          <idx val="5"/>
          <order val="5"/>
          <tx>
            <strRef>
              <f>'Corpus rollout'!G22</f>
            </strRef>
          </tx>
          <spPr>
            <a:ln>
              <a:prstDash val="solid"/>
            </a:ln>
          </spPr>
          <marker>
            <symbol val="none"/>
            <spPr>
              <a:ln>
                <a:prstDash val="solid"/>
              </a:ln>
            </spPr>
          </marker>
          <cat>
            <numRef>
              <f>'Corpus rollout'!$A$23:$A$126</f>
            </numRef>
          </cat>
          <val>
            <numRef>
              <f>'Corpus rollout'!$G$23:$G$126</f>
            </numRef>
          </val>
        </ser>
        <ser>
          <idx val="6"/>
          <order val="6"/>
          <tx>
            <strRef>
              <f>'Corpus rollout'!H22</f>
            </strRef>
          </tx>
          <spPr>
            <a:ln>
              <a:prstDash val="solid"/>
            </a:ln>
          </spPr>
          <marker>
            <symbol val="none"/>
            <spPr>
              <a:ln>
                <a:prstDash val="solid"/>
              </a:ln>
            </spPr>
          </marker>
          <cat>
            <numRef>
              <f>'Corpus rollout'!$A$23:$A$126</f>
            </numRef>
          </cat>
          <val>
            <numRef>
              <f>'Corpus rollout'!$H$23:$H$126</f>
            </numRef>
          </val>
        </ser>
        <ser>
          <idx val="7"/>
          <order val="7"/>
          <tx>
            <strRef>
              <f>'Corpus rollout'!I22</f>
            </strRef>
          </tx>
          <spPr>
            <a:ln>
              <a:prstDash val="solid"/>
            </a:ln>
          </spPr>
          <marker>
            <symbol val="none"/>
            <spPr>
              <a:ln>
                <a:prstDash val="solid"/>
              </a:ln>
            </spPr>
          </marker>
          <cat>
            <numRef>
              <f>'Corpus rollout'!$A$23:$A$126</f>
            </numRef>
          </cat>
          <val>
            <numRef>
              <f>'Corpus rollout'!$I$23:$I$126</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USD</a:t>
                </a:r>
              </a:p>
            </rich>
          </tx>
        </title>
        <numFmt formatCode="&quot;$&quot;#,##0;[Red]-&quot;$&quot;#,##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Idle cash sitting at TAMISEMI</a:t>
            </a:r>
          </a:p>
        </rich>
      </tx>
    </title>
    <plotArea>
      <lineChart>
        <grouping val="standard"/>
        <ser>
          <idx val="0"/>
          <order val="0"/>
          <tx>
            <strRef>
              <f>'Corpus rollout'!K22</f>
            </strRef>
          </tx>
          <spPr>
            <a:ln>
              <a:prstDash val="solid"/>
            </a:ln>
          </spPr>
          <marker>
            <symbol val="none"/>
            <spPr>
              <a:ln>
                <a:prstDash val="solid"/>
              </a:ln>
            </spPr>
          </marker>
          <cat>
            <numRef>
              <f>'Corpus rollout'!$A$23:$A$126</f>
            </numRef>
          </cat>
          <val>
            <numRef>
              <f>'Corpus rollout'!$K$23:$K$126</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USD</a:t>
                </a:r>
              </a:p>
            </rich>
          </tx>
        </title>
        <numFmt formatCode="&quot;$&quot;#,##0;[Red]-&quot;$&quot;#,##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45</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127</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127</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82"/>
  <sheetViews>
    <sheetView workbookViewId="0">
      <selection activeCell="A1" sqref="A1"/>
    </sheetView>
  </sheetViews>
  <sheetFormatPr baseColWidth="8" defaultRowHeight="15"/>
  <cols>
    <col width="110" customWidth="1" min="1" max="1"/>
  </cols>
  <sheetData>
    <row r="1">
      <c r="A1" s="1" t="inlineStr">
        <is>
          <t>PAMOJA simplified financial model - v0.5 (draft)</t>
        </is>
      </c>
    </row>
    <row r="2">
      <c r="A2" s="2" t="inlineStr">
        <is>
          <t>How $24m flows TAMISEMI -&gt; Lenders -&gt; CMGs as loans, and back as repayments.</t>
        </is>
      </c>
    </row>
    <row r="4">
      <c r="A4" t="inlineStr"/>
    </row>
    <row r="5">
      <c r="A5" s="3" t="inlineStr">
        <is>
          <t>HOW TO USE</t>
        </is>
      </c>
    </row>
    <row r="6">
      <c r="A6" t="inlineStr">
        <is>
          <t>1. Change the yellow cells with blue numbers only. Everything else is a formula.</t>
        </is>
      </c>
    </row>
    <row r="7">
      <c r="A7" t="inlineStr">
        <is>
          <t>2. Inputs: fund size, lending rules, lending timing and the split of interest.</t>
        </is>
      </c>
    </row>
    <row r="8">
      <c r="A8" t="inlineStr">
        <is>
          <t>3. Districts: CMG numbers, savings and loan size per LGA.</t>
        </is>
      </c>
    </row>
    <row r="9">
      <c r="A9" t="inlineStr">
        <is>
          <t>4. Monthly cycle: when loans go out and come back over 24 months (year 1 lending, year 2 run-off).</t>
        </is>
      </c>
    </row>
    <row r="10">
      <c r="A10" t="inlineStr">
        <is>
          <t>5. Fund flow: totals for all loans made in the year, with a check that the corpus is restored.</t>
        </is>
      </c>
    </row>
    <row r="11">
      <c r="A11" t="inlineStr">
        <is>
          <t>6. Pilot districts / District timeline / Corpus rollout: a separate, weekly view of loan issuance</t>
        </is>
      </c>
    </row>
    <row r="12">
      <c r="A12" t="inlineStr">
        <is>
          <t xml:space="preserve">   for 8 pilot districts (see CHANGES IN v0.5 below).</t>
        </is>
      </c>
    </row>
    <row r="13">
      <c r="A13" t="inlineStr">
        <is>
          <t>7. Open questions: things to settle. Glossary: acronyms and terms.</t>
        </is>
      </c>
    </row>
    <row r="14">
      <c r="A14" t="inlineStr"/>
    </row>
    <row r="15">
      <c r="A15" s="3" t="inlineStr">
        <is>
          <t>IMPORTANT</t>
        </is>
      </c>
    </row>
    <row r="16">
      <c r="A16" t="inlineStr">
        <is>
          <t>- All district data and rates are DUMMY placeholders. Replace them with real figures.</t>
        </is>
      </c>
    </row>
    <row r="17">
      <c r="A17" t="inlineStr">
        <is>
          <t>- The split of interest is a first guess to confirm.</t>
        </is>
      </c>
    </row>
    <row r="18">
      <c r="A18" t="inlineStr"/>
    </row>
    <row r="19">
      <c r="A19" t="inlineStr">
        <is>
          <t>CHANGES IN v0.2</t>
        </is>
      </c>
    </row>
    <row r="20">
      <c r="A20" t="inlineStr">
        <is>
          <t>- Lender discount removed. The lender keeps the margin (what is left after the other shares).</t>
        </is>
      </c>
    </row>
    <row r="21">
      <c r="A21" t="inlineStr">
        <is>
          <t>- Lenders can make new loans in any month of the year, up to a last month you choose.</t>
        </is>
      </c>
    </row>
    <row r="22">
      <c r="A22" t="inlineStr">
        <is>
          <t>- Loan term can be up to 12 months (maximum tenure is an input).</t>
        </is>
      </c>
    </row>
    <row r="23">
      <c r="A23" t="inlineStr">
        <is>
          <t>- Repayments can be lent out again (re-lending %, set to 0% to switch off).</t>
        </is>
      </c>
    </row>
    <row r="24">
      <c r="A24" t="inlineStr">
        <is>
          <t>- Monthly sheet runs 24 months so loans made late in year 1 can finish in year 2.</t>
        </is>
      </c>
    </row>
    <row r="25">
      <c r="A25" t="inlineStr">
        <is>
          <t>- Year-end snapshot: cash back in the fund vs money still out on loan at month 12.</t>
        </is>
      </c>
    </row>
    <row r="26">
      <c r="A26" t="inlineStr"/>
    </row>
    <row r="27">
      <c r="A27" t="inlineStr">
        <is>
          <t>CHANGES IN v0.3</t>
        </is>
      </c>
    </row>
    <row r="28">
      <c r="A28" t="inlineStr">
        <is>
          <t>- All independent inputs (Inputs + Districts) can now come from a config.json file,</t>
        </is>
      </c>
    </row>
    <row r="29">
      <c r="A29" t="inlineStr">
        <is>
          <t xml:space="preserve">  built by the 'PAMOJA Model Inputs' GUI page instead of typed into Excel.</t>
        </is>
      </c>
    </row>
    <row r="30">
      <c r="A30" t="inlineStr">
        <is>
          <t xml:space="preserve">  Run: python3 model/build_model.py config.json</t>
        </is>
      </c>
    </row>
    <row r="31">
      <c r="A31" t="inlineStr">
        <is>
          <t>- Fund flow now has a bar chart: money not lent, principal repaid, interest collected.</t>
        </is>
      </c>
    </row>
    <row r="32">
      <c r="A32" t="inlineStr"/>
    </row>
    <row r="33">
      <c r="A33" t="inlineStr">
        <is>
          <t>CHANGES IN v0.4</t>
        </is>
      </c>
    </row>
    <row r="34">
      <c r="A34" t="inlineStr">
        <is>
          <t>- Region share and LGA share of interest renamed to Region service fee and LGA service fee.</t>
        </is>
      </c>
    </row>
    <row r="35">
      <c r="A35" t="inlineStr">
        <is>
          <t>- New: TAMISEMI share of repaid principal (default 100%) - the rest is kept by the lender.</t>
        </is>
      </c>
    </row>
    <row r="36">
      <c r="A36" t="inlineStr">
        <is>
          <t>- New: Risk share of defaults, split between TAMISEMI and the lender. TAMISEMI absorbs its</t>
        </is>
      </c>
    </row>
    <row r="37">
      <c r="A37" t="inlineStr">
        <is>
          <t xml:space="preserve">  share against the corpus; the lender absorbs the remainder (a computed field) as its own loss,</t>
        </is>
      </c>
    </row>
    <row r="38">
      <c r="A38" t="inlineStr">
        <is>
          <t xml:space="preserve">  and pays that amount back into the fund as risk-share compensation.</t>
        </is>
      </c>
    </row>
    <row r="39">
      <c r="A39" t="inlineStr">
        <is>
          <t>- Fund flow shows both settlements and a 'Lender's net result' line (margin - own risk share</t>
        </is>
      </c>
    </row>
    <row r="40">
      <c r="A40" t="inlineStr">
        <is>
          <t xml:space="preserve">  of defaults + principal kept back).</t>
        </is>
      </c>
    </row>
    <row r="41">
      <c r="A41" t="inlineStr">
        <is>
          <t>- Break-even default rate and the default budget needed now only have to cover TAMISEMI's</t>
        </is>
      </c>
    </row>
    <row r="42">
      <c r="A42" t="inlineStr">
        <is>
          <t xml:space="preserve">  risk share of defaults, not the whole default.</t>
        </is>
      </c>
    </row>
    <row r="43">
      <c r="A43" t="inlineStr"/>
    </row>
    <row r="44">
      <c r="A44" t="inlineStr">
        <is>
          <t>CHANGES IN v0.5 - the pilot-district weekly model</t>
        </is>
      </c>
    </row>
    <row r="45">
      <c r="A45" t="inlineStr">
        <is>
          <t>- Three new sheets model 8 pilot districts week by week (separate from the annual model above,</t>
        </is>
      </c>
    </row>
    <row r="46">
      <c r="A46" t="inlineStr">
        <is>
          <t xml:space="preserve">  with its own $6m placeholder pool - see question 13):</t>
        </is>
      </c>
    </row>
    <row r="47">
      <c r="A47" t="inlineStr">
        <is>
          <t xml:space="preserve">  * Pilot districts: CMG data, FIs, weekly appraisal capacity, appraisal-&gt;disbursal lag and</t>
        </is>
      </c>
    </row>
    <row r="48">
      <c r="A48" t="inlineStr">
        <is>
          <t xml:space="preserve">    rollout start week for each of the 8 districts.</t>
        </is>
      </c>
    </row>
    <row r="49">
      <c r="A49" t="inlineStr">
        <is>
          <t xml:space="preserve">  * District timeline: pick one district and see, week by week, appraisals, disbursals, the</t>
        </is>
      </c>
    </row>
    <row r="50">
      <c r="A50" t="inlineStr">
        <is>
          <t xml:space="preserve">    loan book (Portfolio Outstanding), and when its pool would run out - with a toggle for</t>
        </is>
      </c>
    </row>
    <row r="51">
      <c r="A51" t="inlineStr">
        <is>
          <t xml:space="preserve">    whether repayments are recycled and by whom.</t>
        </is>
      </c>
    </row>
    <row r="52">
      <c r="A52" t="inlineStr">
        <is>
          <t xml:space="preserve">  * Corpus rollout: all 8 districts side by side, with a tranche % input comparing 'give each</t>
        </is>
      </c>
    </row>
    <row r="53">
      <c r="A53" t="inlineStr">
        <is>
          <t xml:space="preserve">    district its full allocation upfront' against 'a smaller tranche now, rest held in reserve</t>
        </is>
      </c>
    </row>
    <row r="54">
      <c r="A54" t="inlineStr">
        <is>
          <t xml:space="preserve">    at TAMISEMI' - showing idle cash at TAMISEMI over time either way.</t>
        </is>
      </c>
    </row>
    <row r="55">
      <c r="A55" t="inlineStr">
        <is>
          <t>- Not every appraised CMG becomes a loan: a conversion rate (appraisal pass + CMG acceptance,</t>
        </is>
      </c>
    </row>
    <row r="56">
      <c r="A56" t="inlineStr">
        <is>
          <t xml:space="preserve">  80% placeholder) reduces disbursals below capacity.</t>
        </is>
      </c>
    </row>
    <row r="57">
      <c r="A57" t="inlineStr"/>
    </row>
    <row r="58">
      <c r="A58" s="3" t="inlineStr">
        <is>
          <t>SIMPLE LOGIC</t>
        </is>
      </c>
    </row>
    <row r="59">
      <c r="A59" t="inlineStr">
        <is>
          <t>- Lending corpus = Total fund - Lender incentives - CMG incentives.</t>
        </is>
      </c>
    </row>
    <row r="60">
      <c r="A60" t="inlineStr">
        <is>
          <t>- Loan per CMG = the smaller of: average loan asked for, or savings x maximum Loan:Savings ratio.</t>
        </is>
      </c>
    </row>
    <row r="61">
      <c r="A61" t="inlineStr">
        <is>
          <t>- If total demand is more than the corpus, every district is scaled down by the same %.</t>
        </is>
      </c>
    </row>
    <row r="62">
      <c r="A62" t="inlineStr">
        <is>
          <t>- Loans are repaid in equal monthly instalments over the term, starting the month after the loan.</t>
        </is>
      </c>
    </row>
    <row r="63">
      <c r="A63" t="inlineStr">
        <is>
          <t>- Interest is flat: rate x loan x term, collected with each instalment.</t>
        </is>
      </c>
    </row>
    <row r="64">
      <c r="A64" t="inlineStr">
        <is>
          <t>- Defaults: the default rate is taken off every instalment (no principal or interest).</t>
        </is>
      </c>
    </row>
    <row r="65">
      <c r="A65" t="inlineStr">
        <is>
          <t>- Re-lending: a % of principal repaid in one month is lent out again the next month, up to the last lending month.</t>
        </is>
      </c>
    </row>
    <row r="66">
      <c r="A66" t="inlineStr">
        <is>
          <t>- Of every instalment repaid, TAMISEMI's share of repaid principal returns to the fund; the rest</t>
        </is>
      </c>
    </row>
    <row r="67">
      <c r="A67" t="inlineStr">
        <is>
          <t xml:space="preserve">  stays with the lender.</t>
        </is>
      </c>
    </row>
    <row r="68">
      <c r="A68" t="inlineStr">
        <is>
          <t>- Of every default, TAMISEMI absorbs its risk share against the corpus; the lender absorbs the</t>
        </is>
      </c>
    </row>
    <row r="69">
      <c r="A69" t="inlineStr">
        <is>
          <t xml:space="preserve">  rest and pays that amount back into the fund.</t>
        </is>
      </c>
    </row>
    <row r="70">
      <c r="A70" t="inlineStr">
        <is>
          <t>- The corpus is restored if the default budget (from interest) covers TAMISEMI's risk share of</t>
        </is>
      </c>
    </row>
    <row r="71">
      <c r="A71" t="inlineStr">
        <is>
          <t xml:space="preserve">  the defaulted principal, after the lender's risk-share payment and any principal it keeps.</t>
        </is>
      </c>
    </row>
    <row r="72">
      <c r="A72" t="inlineStr"/>
    </row>
    <row r="73">
      <c r="A73" s="3" t="inlineStr">
        <is>
          <t>KEY TRADE-OFF</t>
        </is>
      </c>
    </row>
    <row r="74">
      <c r="A74" t="inlineStr">
        <is>
          <t>- For all money to be back as CASH by month 12, the last loan must go out by month (12 - term).</t>
        </is>
      </c>
    </row>
    <row r="75">
      <c r="A75" t="inlineStr">
        <is>
          <t>- With a 12-month term, that means lending only in month 0 - so lending across the cycle means</t>
        </is>
      </c>
    </row>
    <row r="76">
      <c r="A76" t="inlineStr">
        <is>
          <t xml:space="preserve">  some of the corpus is still out on loan at year end. See question 6.</t>
        </is>
      </c>
    </row>
    <row r="77">
      <c r="A77" t="inlineStr"/>
    </row>
    <row r="78">
      <c r="A78" s="3" t="inlineStr">
        <is>
          <t>NOT YET IN THE MODEL</t>
        </is>
      </c>
    </row>
    <row r="79">
      <c r="A79" t="inlineStr">
        <is>
          <t>- Different terms per loan or district; staggered CMG cycles.</t>
        </is>
      </c>
    </row>
    <row r="80">
      <c r="A80" t="inlineStr">
        <is>
          <t>- Multiple lenders per LGA; region-level roll-up.</t>
        </is>
      </c>
    </row>
    <row r="81">
      <c r="A81" t="inlineStr">
        <is>
          <t>- Timing of incentive payments; LGA service fee formula; risk-share formula (Q12 in the flowchart).</t>
        </is>
      </c>
    </row>
    <row r="82">
      <c r="A82" t="inlineStr">
        <is>
          <t>- Exchange rate (TZS / USD) and inflation.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8" customWidth="1" min="1" max="1"/>
    <col width="16" customWidth="1" min="2" max="2"/>
    <col width="8" customWidth="1" min="3" max="3"/>
    <col width="58" customWidth="1" min="4" max="4"/>
  </cols>
  <sheetData>
    <row r="1">
      <c r="A1" s="1" t="inlineStr">
        <is>
          <t>Inputs</t>
        </is>
      </c>
    </row>
    <row r="2">
      <c r="A2" s="2" t="inlineStr">
        <is>
          <t>Yellow cells are inputs. Dummy values - replace with agreed figures.</t>
        </is>
      </c>
    </row>
    <row r="4">
      <c r="A4" s="4" t="inlineStr">
        <is>
          <t>Item</t>
        </is>
      </c>
      <c r="B4" s="4" t="inlineStr">
        <is>
          <t>Value</t>
        </is>
      </c>
      <c r="C4" s="4" t="inlineStr">
        <is>
          <t>Unit</t>
        </is>
      </c>
      <c r="D4" s="4" t="inlineStr">
        <is>
          <t>Note</t>
        </is>
      </c>
    </row>
    <row r="5">
      <c r="A5" s="5" t="inlineStr">
        <is>
          <t>FUND</t>
        </is>
      </c>
      <c r="B5" s="6" t="n"/>
      <c r="C5" s="6" t="n"/>
      <c r="D5" s="6" t="n"/>
    </row>
    <row r="6">
      <c r="A6" t="inlineStr">
        <is>
          <t>Total PAMOJA fund</t>
        </is>
      </c>
      <c r="B6" s="7" t="n">
        <v>24000000</v>
      </c>
      <c r="C6" t="inlineStr">
        <is>
          <t>USD</t>
        </is>
      </c>
      <c r="D6" t="inlineStr">
        <is>
          <t>From TAMISEMI</t>
        </is>
      </c>
    </row>
    <row r="7">
      <c r="A7" t="inlineStr">
        <is>
          <t>Lender incentives (set aside)</t>
        </is>
      </c>
      <c r="B7" s="7" t="n">
        <v>2000000</v>
      </c>
      <c r="C7" t="inlineStr">
        <is>
          <t>USD</t>
        </is>
      </c>
      <c r="D7" t="inlineStr">
        <is>
          <t>Not lent out</t>
        </is>
      </c>
    </row>
    <row r="8">
      <c r="A8" t="inlineStr">
        <is>
          <t>CMG incentives (set aside)</t>
        </is>
      </c>
      <c r="B8" s="7" t="n">
        <v>2000000</v>
      </c>
      <c r="C8" t="inlineStr">
        <is>
          <t>USD</t>
        </is>
      </c>
      <c r="D8" t="inlineStr">
        <is>
          <t>Not lent out</t>
        </is>
      </c>
    </row>
    <row r="9">
      <c r="A9" t="inlineStr">
        <is>
          <t>Lending corpus</t>
        </is>
      </c>
      <c r="B9" s="8">
        <f>B6-B7-B8</f>
        <v/>
      </c>
      <c r="C9" t="inlineStr">
        <is>
          <t>USD</t>
        </is>
      </c>
      <c r="D9" t="inlineStr">
        <is>
          <t>Money available to lend</t>
        </is>
      </c>
    </row>
    <row r="10">
      <c r="A10" s="5" t="inlineStr">
        <is>
          <t>LENDING RULES</t>
        </is>
      </c>
      <c r="B10" s="6" t="n"/>
      <c r="C10" s="6" t="n"/>
      <c r="D10" s="6" t="n"/>
    </row>
    <row r="11">
      <c r="A11" t="inlineStr">
        <is>
          <t>Maximum Loan:Savings ratio</t>
        </is>
      </c>
      <c r="B11" s="9" t="n">
        <v>0.5</v>
      </c>
      <c r="C11" t="inlineStr">
        <is>
          <t>x</t>
        </is>
      </c>
      <c r="D11" t="inlineStr">
        <is>
          <t>Loan must not exceed this x CMG savings</t>
        </is>
      </c>
    </row>
    <row r="12">
      <c r="A12" t="inlineStr">
        <is>
          <t>Interest rate (flat, per year)</t>
        </is>
      </c>
      <c r="B12" s="10" t="n">
        <v>0.18</v>
      </c>
      <c r="C12" t="inlineStr">
        <is>
          <t>%</t>
        </is>
      </c>
      <c r="D12" t="inlineStr">
        <is>
          <t>Placeholder; must be at or below TAMISEMI ceiling</t>
        </is>
      </c>
    </row>
    <row r="13">
      <c r="A13" t="inlineStr">
        <is>
          <t>Maximum loan tenure</t>
        </is>
      </c>
      <c r="B13" s="11" t="n">
        <v>12</v>
      </c>
      <c r="C13" t="inlineStr">
        <is>
          <t>months</t>
        </is>
      </c>
      <c r="D13" t="inlineStr">
        <is>
          <t>Policy limit</t>
        </is>
      </c>
    </row>
    <row r="14">
      <c r="A14" t="inlineStr">
        <is>
          <t>Loan term used in the model</t>
        </is>
      </c>
      <c r="B14" s="11" t="n">
        <v>6</v>
      </c>
      <c r="C14" t="inlineStr">
        <is>
          <t>months</t>
        </is>
      </c>
      <c r="D14" t="inlineStr">
        <is>
          <t>Must be 1 to the maximum tenure</t>
        </is>
      </c>
    </row>
    <row r="15">
      <c r="A15" t="inlineStr">
        <is>
          <t>Check: term within maximum</t>
        </is>
      </c>
      <c r="B15" s="12">
        <f>IF(AND(B14&gt;=1,B14&lt;=B13),"OK","ERROR: term above maximum tenure")</f>
        <v/>
      </c>
      <c r="C15" t="inlineStr"/>
      <c r="D15" t="inlineStr"/>
    </row>
    <row r="16">
      <c r="A16" t="inlineStr">
        <is>
          <t>Portfolio default rate (budget)</t>
        </is>
      </c>
      <c r="B16" s="10" t="n">
        <v>0.05</v>
      </c>
      <c r="C16" t="inlineStr">
        <is>
          <t>%</t>
        </is>
      </c>
      <c r="D16" t="inlineStr">
        <is>
          <t>% of principal lent that is not repaid</t>
        </is>
      </c>
    </row>
    <row r="17">
      <c r="A17" s="5" t="inlineStr">
        <is>
          <t>LENDING TIMING (across the cycle)</t>
        </is>
      </c>
      <c r="B17" s="6" t="n"/>
      <c r="C17" s="6" t="n"/>
      <c r="D17" s="6" t="n"/>
    </row>
    <row r="18">
      <c r="A18" t="inlineStr">
        <is>
          <t>Last month lenders can make new loans</t>
        </is>
      </c>
      <c r="B18" s="11" t="n">
        <v>12</v>
      </c>
      <c r="C18" t="inlineStr">
        <is>
          <t>month</t>
        </is>
      </c>
      <c r="D18" t="inlineStr">
        <is>
          <t>1 to 12. Spread of new loans is set on 'Monthly cycle'</t>
        </is>
      </c>
    </row>
    <row r="19">
      <c r="A19" t="inlineStr">
        <is>
          <t>% of principal repaid that is lent out again</t>
        </is>
      </c>
      <c r="B19" s="10" t="n">
        <v>0</v>
      </c>
      <c r="C19" t="inlineStr">
        <is>
          <t>%</t>
        </is>
      </c>
      <c r="D19" t="inlineStr">
        <is>
          <t>0% = no re-lending (see question 4)</t>
        </is>
      </c>
    </row>
    <row r="20">
      <c r="A20" t="inlineStr">
        <is>
          <t>Latest month to lend if all cash must be back by month 12</t>
        </is>
      </c>
      <c r="B20" s="13">
        <f>MAX(0,12-B14)</f>
        <v/>
      </c>
      <c r="C20" t="inlineStr">
        <is>
          <t>month</t>
        </is>
      </c>
      <c r="D20" t="inlineStr">
        <is>
          <t>0 means only at the very start of the year</t>
        </is>
      </c>
    </row>
    <row r="21">
      <c r="A21" s="5" t="inlineStr">
        <is>
          <t>SPLIT OF INTEREST COLLECTED</t>
        </is>
      </c>
      <c r="B21" s="6" t="n"/>
      <c r="C21" s="6" t="n"/>
      <c r="D21" s="6" t="n"/>
    </row>
    <row r="22">
      <c r="A22" t="inlineStr">
        <is>
          <t>Default budget (loss reserve)</t>
        </is>
      </c>
      <c r="B22" s="10" t="n">
        <v>0.3</v>
      </c>
      <c r="C22" t="inlineStr">
        <is>
          <t>%</t>
        </is>
      </c>
      <c r="D22" t="inlineStr">
        <is>
          <t>Returned to fund to cover defaults</t>
        </is>
      </c>
    </row>
    <row r="23">
      <c r="A23" t="inlineStr">
        <is>
          <t>TAMISEMI share of interest</t>
        </is>
      </c>
      <c r="B23" s="10" t="n">
        <v>0.1</v>
      </c>
      <c r="C23" t="inlineStr">
        <is>
          <t>%</t>
        </is>
      </c>
      <c r="D23" t="inlineStr">
        <is>
          <t>Placeholder</t>
        </is>
      </c>
    </row>
    <row r="24">
      <c r="A24" t="inlineStr">
        <is>
          <t>Region service fee</t>
        </is>
      </c>
      <c r="B24" s="10" t="n">
        <v>0.05</v>
      </c>
      <c r="C24" t="inlineStr">
        <is>
          <t>%</t>
        </is>
      </c>
      <c r="D24" t="inlineStr">
        <is>
          <t>Placeholder</t>
        </is>
      </c>
    </row>
    <row r="25">
      <c r="A25" t="inlineStr">
        <is>
          <t>LGA service fee</t>
        </is>
      </c>
      <c r="B25" s="10" t="n">
        <v>0.05</v>
      </c>
      <c r="C25" t="inlineStr">
        <is>
          <t>%</t>
        </is>
      </c>
      <c r="D25" t="inlineStr">
        <is>
          <t>Placeholder</t>
        </is>
      </c>
    </row>
    <row r="26">
      <c r="A26" t="inlineStr">
        <is>
          <t>Lender margin (remainder)</t>
        </is>
      </c>
      <c r="B26" s="14">
        <f>1-SUM(B22:B25)</f>
        <v/>
      </c>
      <c r="C26" t="inlineStr">
        <is>
          <t>%</t>
        </is>
      </c>
      <c r="D26" t="inlineStr">
        <is>
          <t>What is left for the lender</t>
        </is>
      </c>
    </row>
    <row r="27">
      <c r="A27" t="inlineStr">
        <is>
          <t>Check: split adds to 100% or less</t>
        </is>
      </c>
      <c r="B27" s="12">
        <f>IF(B26&gt;=0,"OK","ERROR: over 100%")</f>
        <v/>
      </c>
      <c r="C27" t="inlineStr"/>
      <c r="D27" t="inlineStr"/>
    </row>
    <row r="28">
      <c r="A28" s="5" t="inlineStr">
        <is>
          <t>PRINCIPAL SETTLEMENT AND RISK SHARE</t>
        </is>
      </c>
      <c r="B28" s="6" t="n"/>
      <c r="C28" s="6" t="n"/>
      <c r="D28" s="6" t="n"/>
    </row>
    <row r="29">
      <c r="A29" t="inlineStr">
        <is>
          <t>TAMISEMI share of repaid principal</t>
        </is>
      </c>
      <c r="B29" s="10" t="n">
        <v>1</v>
      </c>
      <c r="C29" t="inlineStr">
        <is>
          <t>%</t>
        </is>
      </c>
      <c r="D29" t="inlineStr">
        <is>
          <t>Share of every repaid instalment returned to the TAMISEMI corpus</t>
        </is>
      </c>
    </row>
    <row r="30">
      <c r="A30" t="inlineStr">
        <is>
          <t>Lender share of repaid principal (remainder)</t>
        </is>
      </c>
      <c r="B30" s="14">
        <f>1-B29</f>
        <v/>
      </c>
      <c r="C30" t="inlineStr">
        <is>
          <t>%</t>
        </is>
      </c>
      <c r="D30" t="inlineStr">
        <is>
          <t>Kept by the lender; computed from the TAMISEMI share above</t>
        </is>
      </c>
    </row>
    <row r="31">
      <c r="A31" t="inlineStr">
        <is>
          <t>TAMISEMI risk share of defaults</t>
        </is>
      </c>
      <c r="B31" s="10" t="n">
        <v>0.5</v>
      </c>
      <c r="C31" t="inlineStr">
        <is>
          <t>%</t>
        </is>
      </c>
      <c r="D31" t="inlineStr">
        <is>
          <t>Share of every default TAMISEMI absorbs against the corpus. Placeholder - see question 12</t>
        </is>
      </c>
    </row>
    <row r="32">
      <c r="A32" t="inlineStr">
        <is>
          <t>Lender risk share of defaults (remainder)</t>
        </is>
      </c>
      <c r="B32" s="14">
        <f>1-B31</f>
        <v/>
      </c>
      <c r="C32" t="inlineStr">
        <is>
          <t>%</t>
        </is>
      </c>
      <c r="D32" t="inlineStr">
        <is>
          <t>The lender's own loss on a default; computed from the TAMISEMI risk share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1" t="inlineStr">
        <is>
          <t>Allocation by district (LGA)</t>
        </is>
      </c>
    </row>
    <row r="2">
      <c r="A2" s="2" t="inlineStr">
        <is>
          <t>Dummy data. Add real LGAs in the yellow cells; up to 20 rows. Allocates the first round of lending only.</t>
        </is>
      </c>
    </row>
    <row r="4" ht="45" customHeight="1">
      <c r="A4" s="4" t="inlineStr">
        <is>
          <t>District (LGA)</t>
        </is>
      </c>
      <c r="B4" s="4" t="inlineStr">
        <is>
          <t>Number of CMGs</t>
        </is>
      </c>
      <c r="C4" s="4" t="inlineStr">
        <is>
          <t>Average savings per CMG (USD)</t>
        </is>
      </c>
      <c r="D4" s="4" t="inlineStr">
        <is>
          <t>Average loan asked per CMG (USD)</t>
        </is>
      </c>
      <c r="E4" s="4" t="inlineStr">
        <is>
          <t>Loan cap per CMG = savings x ratio</t>
        </is>
      </c>
      <c r="F4" s="4" t="inlineStr">
        <is>
          <t>Loan per CMG (smaller of the two)</t>
        </is>
      </c>
      <c r="G4" s="4" t="inlineStr">
        <is>
          <t>Loan:Savings ratio used</t>
        </is>
      </c>
      <c r="H4" s="4" t="inlineStr">
        <is>
          <t>Demand (USD)</t>
        </is>
      </c>
      <c r="I4" s="4" t="inlineStr">
        <is>
          <t>Allocation (USD)</t>
        </is>
      </c>
      <c r="J4" s="4" t="inlineStr">
        <is>
          <t>Share of corpus</t>
        </is>
      </c>
    </row>
    <row r="5">
      <c r="A5" s="15" t="inlineStr">
        <is>
          <t>District A</t>
        </is>
      </c>
      <c r="B5" s="16" t="n">
        <v>2500</v>
      </c>
      <c r="C5" s="7" t="n">
        <v>4000</v>
      </c>
      <c r="D5" s="7" t="n">
        <v>2500</v>
      </c>
      <c r="E5" s="17">
        <f>IF(B5="","",C5*Inputs!$B$11)</f>
        <v/>
      </c>
      <c r="F5" s="17">
        <f>IF(B5="","",MIN(D5,E5))</f>
        <v/>
      </c>
      <c r="G5" s="18">
        <f>IF(B5="","",F5/C5)</f>
        <v/>
      </c>
      <c r="H5" s="17">
        <f>IF(B5="",0,B5*F5)</f>
        <v/>
      </c>
      <c r="I5" s="17">
        <f>IF(B5="",0,H5*$B$28)</f>
        <v/>
      </c>
      <c r="J5" s="19">
        <f>IF(B5="","",I5/Inputs!$B$9)</f>
        <v/>
      </c>
    </row>
    <row r="6">
      <c r="A6" s="15" t="inlineStr">
        <is>
          <t>District B</t>
        </is>
      </c>
      <c r="B6" s="16" t="n">
        <v>1800</v>
      </c>
      <c r="C6" s="7" t="n">
        <v>3000</v>
      </c>
      <c r="D6" s="7" t="n">
        <v>2000</v>
      </c>
      <c r="E6" s="17">
        <f>IF(B6="","",C6*Inputs!$B$11)</f>
        <v/>
      </c>
      <c r="F6" s="17">
        <f>IF(B6="","",MIN(D6,E6))</f>
        <v/>
      </c>
      <c r="G6" s="18">
        <f>IF(B6="","",F6/C6)</f>
        <v/>
      </c>
      <c r="H6" s="17">
        <f>IF(B6="",0,B6*F6)</f>
        <v/>
      </c>
      <c r="I6" s="17">
        <f>IF(B6="",0,H6*$B$28)</f>
        <v/>
      </c>
      <c r="J6" s="19">
        <f>IF(B6="","",I6/Inputs!$B$9)</f>
        <v/>
      </c>
    </row>
    <row r="7">
      <c r="A7" s="15" t="inlineStr">
        <is>
          <t>District C</t>
        </is>
      </c>
      <c r="B7" s="16" t="n">
        <v>3200</v>
      </c>
      <c r="C7" s="7" t="n">
        <v>5000</v>
      </c>
      <c r="D7" s="7" t="n">
        <v>3000</v>
      </c>
      <c r="E7" s="17">
        <f>IF(B7="","",C7*Inputs!$B$11)</f>
        <v/>
      </c>
      <c r="F7" s="17">
        <f>IF(B7="","",MIN(D7,E7))</f>
        <v/>
      </c>
      <c r="G7" s="18">
        <f>IF(B7="","",F7/C7)</f>
        <v/>
      </c>
      <c r="H7" s="17">
        <f>IF(B7="",0,B7*F7)</f>
        <v/>
      </c>
      <c r="I7" s="17">
        <f>IF(B7="",0,H7*$B$28)</f>
        <v/>
      </c>
      <c r="J7" s="19">
        <f>IF(B7="","",I7/Inputs!$B$9)</f>
        <v/>
      </c>
    </row>
    <row r="8">
      <c r="A8" s="15" t="inlineStr">
        <is>
          <t>District D</t>
        </is>
      </c>
      <c r="B8" s="16" t="n">
        <v>1500</v>
      </c>
      <c r="C8" s="7" t="n">
        <v>3500</v>
      </c>
      <c r="D8" s="7" t="n">
        <v>1500</v>
      </c>
      <c r="E8" s="17">
        <f>IF(B8="","",C8*Inputs!$B$11)</f>
        <v/>
      </c>
      <c r="F8" s="17">
        <f>IF(B8="","",MIN(D8,E8))</f>
        <v/>
      </c>
      <c r="G8" s="18">
        <f>IF(B8="","",F8/C8)</f>
        <v/>
      </c>
      <c r="H8" s="17">
        <f>IF(B8="",0,B8*F8)</f>
        <v/>
      </c>
      <c r="I8" s="17">
        <f>IF(B8="",0,H8*$B$28)</f>
        <v/>
      </c>
      <c r="J8" s="19">
        <f>IF(B8="","",I8/Inputs!$B$9)</f>
        <v/>
      </c>
    </row>
    <row r="9">
      <c r="A9" s="15" t="inlineStr">
        <is>
          <t>District E</t>
        </is>
      </c>
      <c r="B9" s="16" t="n">
        <v>2000</v>
      </c>
      <c r="C9" s="7" t="n">
        <v>4500</v>
      </c>
      <c r="D9" s="7" t="n">
        <v>2500</v>
      </c>
      <c r="E9" s="17">
        <f>IF(B9="","",C9*Inputs!$B$11)</f>
        <v/>
      </c>
      <c r="F9" s="17">
        <f>IF(B9="","",MIN(D9,E9))</f>
        <v/>
      </c>
      <c r="G9" s="18">
        <f>IF(B9="","",F9/C9)</f>
        <v/>
      </c>
      <c r="H9" s="17">
        <f>IF(B9="",0,B9*F9)</f>
        <v/>
      </c>
      <c r="I9" s="17">
        <f>IF(B9="",0,H9*$B$28)</f>
        <v/>
      </c>
      <c r="J9" s="19">
        <f>IF(B9="","",I9/Inputs!$B$9)</f>
        <v/>
      </c>
    </row>
    <row r="10">
      <c r="A10" s="15" t="n"/>
      <c r="B10" s="16" t="n"/>
      <c r="C10" s="7" t="n"/>
      <c r="D10" s="7" t="n"/>
      <c r="E10" s="17">
        <f>IF(B10="","",C10*Inputs!$B$11)</f>
        <v/>
      </c>
      <c r="F10" s="17">
        <f>IF(B10="","",MIN(D10,E10))</f>
        <v/>
      </c>
      <c r="G10" s="18">
        <f>IF(B10="","",F10/C10)</f>
        <v/>
      </c>
      <c r="H10" s="17">
        <f>IF(B10="",0,B10*F10)</f>
        <v/>
      </c>
      <c r="I10" s="17">
        <f>IF(B10="",0,H10*$B$28)</f>
        <v/>
      </c>
      <c r="J10" s="19">
        <f>IF(B10="","",I10/Inputs!$B$9)</f>
        <v/>
      </c>
    </row>
    <row r="11">
      <c r="A11" s="15" t="n"/>
      <c r="B11" s="16" t="n"/>
      <c r="C11" s="7" t="n"/>
      <c r="D11" s="7" t="n"/>
      <c r="E11" s="17">
        <f>IF(B11="","",C11*Inputs!$B$11)</f>
        <v/>
      </c>
      <c r="F11" s="17">
        <f>IF(B11="","",MIN(D11,E11))</f>
        <v/>
      </c>
      <c r="G11" s="18">
        <f>IF(B11="","",F11/C11)</f>
        <v/>
      </c>
      <c r="H11" s="17">
        <f>IF(B11="",0,B11*F11)</f>
        <v/>
      </c>
      <c r="I11" s="17">
        <f>IF(B11="",0,H11*$B$28)</f>
        <v/>
      </c>
      <c r="J11" s="19">
        <f>IF(B11="","",I11/Inputs!$B$9)</f>
        <v/>
      </c>
    </row>
    <row r="12">
      <c r="A12" s="15" t="n"/>
      <c r="B12" s="16" t="n"/>
      <c r="C12" s="7" t="n"/>
      <c r="D12" s="7" t="n"/>
      <c r="E12" s="17">
        <f>IF(B12="","",C12*Inputs!$B$11)</f>
        <v/>
      </c>
      <c r="F12" s="17">
        <f>IF(B12="","",MIN(D12,E12))</f>
        <v/>
      </c>
      <c r="G12" s="18">
        <f>IF(B12="","",F12/C12)</f>
        <v/>
      </c>
      <c r="H12" s="17">
        <f>IF(B12="",0,B12*F12)</f>
        <v/>
      </c>
      <c r="I12" s="17">
        <f>IF(B12="",0,H12*$B$28)</f>
        <v/>
      </c>
      <c r="J12" s="19">
        <f>IF(B12="","",I12/Inputs!$B$9)</f>
        <v/>
      </c>
    </row>
    <row r="13">
      <c r="A13" s="15" t="n"/>
      <c r="B13" s="16" t="n"/>
      <c r="C13" s="7" t="n"/>
      <c r="D13" s="7" t="n"/>
      <c r="E13" s="17">
        <f>IF(B13="","",C13*Inputs!$B$11)</f>
        <v/>
      </c>
      <c r="F13" s="17">
        <f>IF(B13="","",MIN(D13,E13))</f>
        <v/>
      </c>
      <c r="G13" s="18">
        <f>IF(B13="","",F13/C13)</f>
        <v/>
      </c>
      <c r="H13" s="17">
        <f>IF(B13="",0,B13*F13)</f>
        <v/>
      </c>
      <c r="I13" s="17">
        <f>IF(B13="",0,H13*$B$28)</f>
        <v/>
      </c>
      <c r="J13" s="19">
        <f>IF(B13="","",I13/Inputs!$B$9)</f>
        <v/>
      </c>
    </row>
    <row r="14">
      <c r="A14" s="15" t="n"/>
      <c r="B14" s="16" t="n"/>
      <c r="C14" s="7" t="n"/>
      <c r="D14" s="7" t="n"/>
      <c r="E14" s="17">
        <f>IF(B14="","",C14*Inputs!$B$11)</f>
        <v/>
      </c>
      <c r="F14" s="17">
        <f>IF(B14="","",MIN(D14,E14))</f>
        <v/>
      </c>
      <c r="G14" s="18">
        <f>IF(B14="","",F14/C14)</f>
        <v/>
      </c>
      <c r="H14" s="17">
        <f>IF(B14="",0,B14*F14)</f>
        <v/>
      </c>
      <c r="I14" s="17">
        <f>IF(B14="",0,H14*$B$28)</f>
        <v/>
      </c>
      <c r="J14" s="19">
        <f>IF(B14="","",I14/Inputs!$B$9)</f>
        <v/>
      </c>
    </row>
    <row r="15">
      <c r="A15" s="15" t="n"/>
      <c r="B15" s="16" t="n"/>
      <c r="C15" s="7" t="n"/>
      <c r="D15" s="7" t="n"/>
      <c r="E15" s="17">
        <f>IF(B15="","",C15*Inputs!$B$11)</f>
        <v/>
      </c>
      <c r="F15" s="17">
        <f>IF(B15="","",MIN(D15,E15))</f>
        <v/>
      </c>
      <c r="G15" s="18">
        <f>IF(B15="","",F15/C15)</f>
        <v/>
      </c>
      <c r="H15" s="17">
        <f>IF(B15="",0,B15*F15)</f>
        <v/>
      </c>
      <c r="I15" s="17">
        <f>IF(B15="",0,H15*$B$28)</f>
        <v/>
      </c>
      <c r="J15" s="19">
        <f>IF(B15="","",I15/Inputs!$B$9)</f>
        <v/>
      </c>
    </row>
    <row r="16">
      <c r="A16" s="15" t="n"/>
      <c r="B16" s="16" t="n"/>
      <c r="C16" s="7" t="n"/>
      <c r="D16" s="7" t="n"/>
      <c r="E16" s="17">
        <f>IF(B16="","",C16*Inputs!$B$11)</f>
        <v/>
      </c>
      <c r="F16" s="17">
        <f>IF(B16="","",MIN(D16,E16))</f>
        <v/>
      </c>
      <c r="G16" s="18">
        <f>IF(B16="","",F16/C16)</f>
        <v/>
      </c>
      <c r="H16" s="17">
        <f>IF(B16="",0,B16*F16)</f>
        <v/>
      </c>
      <c r="I16" s="17">
        <f>IF(B16="",0,H16*$B$28)</f>
        <v/>
      </c>
      <c r="J16" s="19">
        <f>IF(B16="","",I16/Inputs!$B$9)</f>
        <v/>
      </c>
    </row>
    <row r="17">
      <c r="A17" s="15" t="n"/>
      <c r="B17" s="16" t="n"/>
      <c r="C17" s="7" t="n"/>
      <c r="D17" s="7" t="n"/>
      <c r="E17" s="17">
        <f>IF(B17="","",C17*Inputs!$B$11)</f>
        <v/>
      </c>
      <c r="F17" s="17">
        <f>IF(B17="","",MIN(D17,E17))</f>
        <v/>
      </c>
      <c r="G17" s="18">
        <f>IF(B17="","",F17/C17)</f>
        <v/>
      </c>
      <c r="H17" s="17">
        <f>IF(B17="",0,B17*F17)</f>
        <v/>
      </c>
      <c r="I17" s="17">
        <f>IF(B17="",0,H17*$B$28)</f>
        <v/>
      </c>
      <c r="J17" s="19">
        <f>IF(B17="","",I17/Inputs!$B$9)</f>
        <v/>
      </c>
    </row>
    <row r="18">
      <c r="A18" s="15" t="n"/>
      <c r="B18" s="16" t="n"/>
      <c r="C18" s="7" t="n"/>
      <c r="D18" s="7" t="n"/>
      <c r="E18" s="17">
        <f>IF(B18="","",C18*Inputs!$B$11)</f>
        <v/>
      </c>
      <c r="F18" s="17">
        <f>IF(B18="","",MIN(D18,E18))</f>
        <v/>
      </c>
      <c r="G18" s="18">
        <f>IF(B18="","",F18/C18)</f>
        <v/>
      </c>
      <c r="H18" s="17">
        <f>IF(B18="",0,B18*F18)</f>
        <v/>
      </c>
      <c r="I18" s="17">
        <f>IF(B18="",0,H18*$B$28)</f>
        <v/>
      </c>
      <c r="J18" s="19">
        <f>IF(B18="","",I18/Inputs!$B$9)</f>
        <v/>
      </c>
    </row>
    <row r="19">
      <c r="A19" s="15" t="n"/>
      <c r="B19" s="16" t="n"/>
      <c r="C19" s="7" t="n"/>
      <c r="D19" s="7" t="n"/>
      <c r="E19" s="17">
        <f>IF(B19="","",C19*Inputs!$B$11)</f>
        <v/>
      </c>
      <c r="F19" s="17">
        <f>IF(B19="","",MIN(D19,E19))</f>
        <v/>
      </c>
      <c r="G19" s="18">
        <f>IF(B19="","",F19/C19)</f>
        <v/>
      </c>
      <c r="H19" s="17">
        <f>IF(B19="",0,B19*F19)</f>
        <v/>
      </c>
      <c r="I19" s="17">
        <f>IF(B19="",0,H19*$B$28)</f>
        <v/>
      </c>
      <c r="J19" s="19">
        <f>IF(B19="","",I19/Inputs!$B$9)</f>
        <v/>
      </c>
    </row>
    <row r="20">
      <c r="A20" s="15" t="n"/>
      <c r="B20" s="16" t="n"/>
      <c r="C20" s="7" t="n"/>
      <c r="D20" s="7" t="n"/>
      <c r="E20" s="17">
        <f>IF(B20="","",C20*Inputs!$B$11)</f>
        <v/>
      </c>
      <c r="F20" s="17">
        <f>IF(B20="","",MIN(D20,E20))</f>
        <v/>
      </c>
      <c r="G20" s="18">
        <f>IF(B20="","",F20/C20)</f>
        <v/>
      </c>
      <c r="H20" s="17">
        <f>IF(B20="",0,B20*F20)</f>
        <v/>
      </c>
      <c r="I20" s="17">
        <f>IF(B20="",0,H20*$B$28)</f>
        <v/>
      </c>
      <c r="J20" s="19">
        <f>IF(B20="","",I20/Inputs!$B$9)</f>
        <v/>
      </c>
    </row>
    <row r="21">
      <c r="A21" s="15" t="n"/>
      <c r="B21" s="16" t="n"/>
      <c r="C21" s="7" t="n"/>
      <c r="D21" s="7" t="n"/>
      <c r="E21" s="17">
        <f>IF(B21="","",C21*Inputs!$B$11)</f>
        <v/>
      </c>
      <c r="F21" s="17">
        <f>IF(B21="","",MIN(D21,E21))</f>
        <v/>
      </c>
      <c r="G21" s="18">
        <f>IF(B21="","",F21/C21)</f>
        <v/>
      </c>
      <c r="H21" s="17">
        <f>IF(B21="",0,B21*F21)</f>
        <v/>
      </c>
      <c r="I21" s="17">
        <f>IF(B21="",0,H21*$B$28)</f>
        <v/>
      </c>
      <c r="J21" s="19">
        <f>IF(B21="","",I21/Inputs!$B$9)</f>
        <v/>
      </c>
    </row>
    <row r="22">
      <c r="A22" s="15" t="n"/>
      <c r="B22" s="16" t="n"/>
      <c r="C22" s="7" t="n"/>
      <c r="D22" s="7" t="n"/>
      <c r="E22" s="17">
        <f>IF(B22="","",C22*Inputs!$B$11)</f>
        <v/>
      </c>
      <c r="F22" s="17">
        <f>IF(B22="","",MIN(D22,E22))</f>
        <v/>
      </c>
      <c r="G22" s="18">
        <f>IF(B22="","",F22/C22)</f>
        <v/>
      </c>
      <c r="H22" s="17">
        <f>IF(B22="",0,B22*F22)</f>
        <v/>
      </c>
      <c r="I22" s="17">
        <f>IF(B22="",0,H22*$B$28)</f>
        <v/>
      </c>
      <c r="J22" s="19">
        <f>IF(B22="","",I22/Inputs!$B$9)</f>
        <v/>
      </c>
    </row>
    <row r="23">
      <c r="A23" s="15" t="n"/>
      <c r="B23" s="16" t="n"/>
      <c r="C23" s="7" t="n"/>
      <c r="D23" s="7" t="n"/>
      <c r="E23" s="17">
        <f>IF(B23="","",C23*Inputs!$B$11)</f>
        <v/>
      </c>
      <c r="F23" s="17">
        <f>IF(B23="","",MIN(D23,E23))</f>
        <v/>
      </c>
      <c r="G23" s="18">
        <f>IF(B23="","",F23/C23)</f>
        <v/>
      </c>
      <c r="H23" s="17">
        <f>IF(B23="",0,B23*F23)</f>
        <v/>
      </c>
      <c r="I23" s="17">
        <f>IF(B23="",0,H23*$B$28)</f>
        <v/>
      </c>
      <c r="J23" s="19">
        <f>IF(B23="","",I23/Inputs!$B$9)</f>
        <v/>
      </c>
    </row>
    <row r="24">
      <c r="A24" s="15" t="n"/>
      <c r="B24" s="16" t="n"/>
      <c r="C24" s="7" t="n"/>
      <c r="D24" s="7" t="n"/>
      <c r="E24" s="17">
        <f>IF(B24="","",C24*Inputs!$B$11)</f>
        <v/>
      </c>
      <c r="F24" s="17">
        <f>IF(B24="","",MIN(D24,E24))</f>
        <v/>
      </c>
      <c r="G24" s="18">
        <f>IF(B24="","",F24/C24)</f>
        <v/>
      </c>
      <c r="H24" s="17">
        <f>IF(B24="",0,B24*F24)</f>
        <v/>
      </c>
      <c r="I24" s="17">
        <f>IF(B24="",0,H24*$B$28)</f>
        <v/>
      </c>
      <c r="J24" s="19">
        <f>IF(B24="","",I24/Inputs!$B$9)</f>
        <v/>
      </c>
    </row>
    <row r="25">
      <c r="A25" s="3" t="inlineStr">
        <is>
          <t>TOTAL</t>
        </is>
      </c>
      <c r="B25" s="20">
        <f>SUM(B5:B24)</f>
        <v/>
      </c>
      <c r="H25" s="21">
        <f>SUM(H5:H24)</f>
        <v/>
      </c>
      <c r="I25" s="21">
        <f>SUM(I5:I24)</f>
        <v/>
      </c>
      <c r="J25" s="22">
        <f>SUM(J5:J24)</f>
        <v/>
      </c>
    </row>
    <row r="27">
      <c r="A27" t="inlineStr">
        <is>
          <t>Lending corpus</t>
        </is>
      </c>
      <c r="B27" s="21">
        <f>Inputs!$B$9</f>
        <v/>
      </c>
    </row>
    <row r="28">
      <c r="A28" t="inlineStr">
        <is>
          <t>Scale factor (1 = full demand met)</t>
        </is>
      </c>
      <c r="B28" s="23">
        <f>IF(H25=0,0,MIN(1,B27/H25))</f>
        <v/>
      </c>
    </row>
    <row r="29">
      <c r="A29" t="inlineStr">
        <is>
          <t>Corpus not used</t>
        </is>
      </c>
      <c r="B29" s="21">
        <f>B27-I25</f>
        <v/>
      </c>
    </row>
    <row r="30">
      <c r="A30" t="inlineStr">
        <is>
          <t>Demand not met</t>
        </is>
      </c>
      <c r="B30" s="21">
        <f>H25-I25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44" customWidth="1" min="1" max="1"/>
    <col width="18" customWidth="1" min="2" max="2"/>
    <col width="24" customWidth="1" min="3" max="3"/>
    <col width="48" customWidth="1" min="4" max="4"/>
  </cols>
  <sheetData>
    <row r="1">
      <c r="A1" s="1" t="inlineStr">
        <is>
          <t>Fund flow: all loans made in year 1, until they close</t>
        </is>
      </c>
    </row>
    <row r="2">
      <c r="A2" s="2" t="inlineStr">
        <is>
          <t>TAMISEMI -&gt; Lenders -&gt; CMGs -&gt; back. All formulas; totals come from 'Monthly cycle'.</t>
        </is>
      </c>
    </row>
    <row r="4">
      <c r="A4" s="4" t="inlineStr">
        <is>
          <t>Step</t>
        </is>
      </c>
      <c r="B4" s="4" t="inlineStr">
        <is>
          <t>Amount (USD)</t>
        </is>
      </c>
      <c r="C4" s="4" t="inlineStr">
        <is>
          <t>From -&gt; To</t>
        </is>
      </c>
      <c r="D4" s="4" t="inlineStr">
        <is>
          <t>How it is worked out</t>
        </is>
      </c>
    </row>
    <row r="5">
      <c r="A5" s="5" t="inlineStr">
        <is>
          <t>1. MONEY OUT</t>
        </is>
      </c>
      <c r="B5" s="6" t="n"/>
      <c r="C5" s="6" t="n"/>
      <c r="D5" s="6" t="n"/>
    </row>
    <row r="6">
      <c r="A6" t="inlineStr">
        <is>
          <t>Total PAMOJA fund</t>
        </is>
      </c>
      <c r="B6" s="24">
        <f>Inputs!$B$6</f>
        <v/>
      </c>
      <c r="C6" t="inlineStr">
        <is>
          <t>TAMISEMI</t>
        </is>
      </c>
      <c r="D6" t="inlineStr"/>
    </row>
    <row r="7">
      <c r="A7" t="inlineStr">
        <is>
          <t>Lender incentives set aside</t>
        </is>
      </c>
      <c r="B7" s="24">
        <f>Inputs!$B$7</f>
        <v/>
      </c>
      <c r="C7" t="inlineStr">
        <is>
          <t>TAMISEMI -&gt; Lenders</t>
        </is>
      </c>
      <c r="D7" t="inlineStr">
        <is>
          <t>Paid later, not lent</t>
        </is>
      </c>
    </row>
    <row r="8">
      <c r="A8" t="inlineStr">
        <is>
          <t>CMG incentives set aside</t>
        </is>
      </c>
      <c r="B8" s="24">
        <f>Inputs!$B$8</f>
        <v/>
      </c>
      <c r="C8" t="inlineStr">
        <is>
          <t>TAMISEMI -&gt; CMGs</t>
        </is>
      </c>
      <c r="D8" t="inlineStr">
        <is>
          <t>Paid later, not lent</t>
        </is>
      </c>
    </row>
    <row r="9">
      <c r="A9" t="inlineStr">
        <is>
          <t>Advances to lenders (new loans from corpus)</t>
        </is>
      </c>
      <c r="B9" s="24">
        <f>'Monthly cycle'!$Z$8</f>
        <v/>
      </c>
      <c r="C9" t="inlineStr">
        <is>
          <t>TAMISEMI -&gt; Lenders</t>
        </is>
      </c>
      <c r="D9" t="inlineStr">
        <is>
          <t>Sum over the months</t>
        </is>
      </c>
    </row>
    <row r="10">
      <c r="A10" t="inlineStr">
        <is>
          <t>Corpus not lent (returned)</t>
        </is>
      </c>
      <c r="B10" s="24">
        <f>Inputs!$B$9-B9</f>
        <v/>
      </c>
      <c r="C10" t="inlineStr">
        <is>
          <t>Lenders -&gt; TAMISEMI</t>
        </is>
      </c>
      <c r="D10" t="inlineStr">
        <is>
          <t>Unused advance</t>
        </is>
      </c>
    </row>
    <row r="11">
      <c r="A11" t="inlineStr">
        <is>
          <t>Repayments lent out again</t>
        </is>
      </c>
      <c r="B11" s="24">
        <f>'Monthly cycle'!$Z$9</f>
        <v/>
      </c>
      <c r="C11" t="inlineStr">
        <is>
          <t>Lenders -&gt; CMGs</t>
        </is>
      </c>
      <c r="D11" t="inlineStr">
        <is>
          <t>Re-lending</t>
        </is>
      </c>
    </row>
    <row r="12">
      <c r="A12" s="3" t="inlineStr">
        <is>
          <t>Total loans to CMGs</t>
        </is>
      </c>
      <c r="B12" s="8">
        <f>B9+B11</f>
        <v/>
      </c>
      <c r="C12" t="inlineStr">
        <is>
          <t>Lenders -&gt; CMGs</t>
        </is>
      </c>
      <c r="D12" t="inlineStr"/>
    </row>
    <row r="13">
      <c r="A13" s="5" t="inlineStr">
        <is>
          <t>2. MONEY BACK FROM CMGs</t>
        </is>
      </c>
      <c r="B13" s="6" t="n"/>
      <c r="C13" s="6" t="n"/>
      <c r="D13" s="6" t="n"/>
    </row>
    <row r="14">
      <c r="A14" t="inlineStr">
        <is>
          <t>Principal defaulted</t>
        </is>
      </c>
      <c r="B14" s="24">
        <f>B12*Inputs!$B$16</f>
        <v/>
      </c>
      <c r="C14" t="inlineStr"/>
      <c r="D14" t="inlineStr">
        <is>
          <t>Loans x default rate</t>
        </is>
      </c>
    </row>
    <row r="15">
      <c r="A15" t="inlineStr">
        <is>
          <t>Principal repaid by CMGs (gross)</t>
        </is>
      </c>
      <c r="B15" s="24">
        <f>'Monthly cycle'!$Z$12</f>
        <v/>
      </c>
      <c r="C15" t="inlineStr">
        <is>
          <t>CMGs -&gt; Lenders</t>
        </is>
      </c>
      <c r="D15" t="inlineStr">
        <is>
          <t>Loans - defaults</t>
        </is>
      </c>
    </row>
    <row r="16">
      <c r="A16" t="inlineStr">
        <is>
          <t>TAMISEMI's share of repaid principal</t>
        </is>
      </c>
      <c r="B16" s="24">
        <f>'Monthly cycle'!$Z$15</f>
        <v/>
      </c>
      <c r="C16" t="inlineStr">
        <is>
          <t>Lenders -&gt; TAMISEMI</t>
        </is>
      </c>
      <c r="D16" t="inlineStr">
        <is>
          <t>Repaid gross x TAMISEMI share of repaid principal</t>
        </is>
      </c>
    </row>
    <row r="17">
      <c r="A17" t="inlineStr">
        <is>
          <t>Kept by the lender (repaid principal not returned)</t>
        </is>
      </c>
      <c r="B17" s="24">
        <f>B15-B16</f>
        <v/>
      </c>
      <c r="C17" t="inlineStr">
        <is>
          <t>Kept by lenders</t>
        </is>
      </c>
      <c r="D17" t="inlineStr">
        <is>
          <t>Repaid gross x lender share</t>
        </is>
      </c>
    </row>
    <row r="18">
      <c r="A18" t="inlineStr">
        <is>
          <t>Interest collected</t>
        </is>
      </c>
      <c r="B18" s="24">
        <f>'Monthly cycle'!$Z$13</f>
        <v/>
      </c>
      <c r="C18" t="inlineStr">
        <is>
          <t>CMGs -&gt; Lenders</t>
        </is>
      </c>
      <c r="D18" t="inlineStr">
        <is>
          <t>Flat: repaid x rate x term/12</t>
        </is>
      </c>
    </row>
    <row r="19">
      <c r="A19" t="inlineStr">
        <is>
          <t>Total repayments</t>
        </is>
      </c>
      <c r="B19" s="24">
        <f>B15+B18</f>
        <v/>
      </c>
      <c r="C19" t="inlineStr">
        <is>
          <t>CMGs -&gt; Lenders</t>
        </is>
      </c>
      <c r="D19" t="inlineStr"/>
    </row>
    <row r="20">
      <c r="A20" s="5" t="inlineStr">
        <is>
          <t>3. SPLIT OF INTEREST</t>
        </is>
      </c>
      <c r="B20" s="6" t="n"/>
      <c r="C20" s="6" t="n"/>
      <c r="D20" s="6" t="n"/>
    </row>
    <row r="21">
      <c r="A21" t="inlineStr">
        <is>
          <t>Default budget (loss reserve)</t>
        </is>
      </c>
      <c r="B21" s="24">
        <f>B18*Inputs!$B$22</f>
        <v/>
      </c>
      <c r="C21" t="inlineStr">
        <is>
          <t>Lenders -&gt; TAMISEMI</t>
        </is>
      </c>
      <c r="D21" t="inlineStr"/>
    </row>
    <row r="22">
      <c r="A22" t="inlineStr">
        <is>
          <t>TAMISEMI share of interest</t>
        </is>
      </c>
      <c r="B22" s="24">
        <f>B18*Inputs!$B$23</f>
        <v/>
      </c>
      <c r="C22" t="inlineStr">
        <is>
          <t>Lenders -&gt; TAMISEMI</t>
        </is>
      </c>
      <c r="D22" t="inlineStr"/>
    </row>
    <row r="23">
      <c r="A23" t="inlineStr">
        <is>
          <t>Region service fee</t>
        </is>
      </c>
      <c r="B23" s="24">
        <f>B18*Inputs!$B$24</f>
        <v/>
      </c>
      <c r="C23" t="inlineStr">
        <is>
          <t>-&gt; Region</t>
        </is>
      </c>
      <c r="D23" t="inlineStr"/>
    </row>
    <row r="24">
      <c r="A24" t="inlineStr">
        <is>
          <t>LGA service fee</t>
        </is>
      </c>
      <c r="B24" s="24">
        <f>B18*Inputs!$B$25</f>
        <v/>
      </c>
      <c r="C24" t="inlineStr">
        <is>
          <t>-&gt; LGA</t>
        </is>
      </c>
      <c r="D24" t="inlineStr"/>
    </row>
    <row r="25">
      <c r="A25" t="inlineStr">
        <is>
          <t>Lender margin (from interest)</t>
        </is>
      </c>
      <c r="B25" s="24">
        <f>B18*Inputs!$B$26</f>
        <v/>
      </c>
      <c r="C25" t="inlineStr">
        <is>
          <t>Kept by lenders</t>
        </is>
      </c>
      <c r="D25" t="inlineStr">
        <is>
          <t>Remainder</t>
        </is>
      </c>
    </row>
    <row r="26">
      <c r="A26" s="5" t="inlineStr">
        <is>
          <t>4. RISK SHARE OF DEFAULTS</t>
        </is>
      </c>
      <c r="B26" s="6" t="n"/>
      <c r="C26" s="6" t="n"/>
      <c r="D26" s="6" t="n"/>
    </row>
    <row r="27">
      <c r="A27" t="inlineStr">
        <is>
          <t>TAMISEMI's risk share of defaults (absorbed by TAMISEMI)</t>
        </is>
      </c>
      <c r="B27" s="24">
        <f>B14*Inputs!$B$31</f>
        <v/>
      </c>
      <c r="C27" t="inlineStr">
        <is>
          <t>Loss to TAMISEMI</t>
        </is>
      </c>
      <c r="D27" t="inlineStr">
        <is>
          <t>Defaulted principal x TAMISEMI risk share</t>
        </is>
      </c>
    </row>
    <row r="28">
      <c r="A28" t="inlineStr">
        <is>
          <t>Lender's risk share of defaults (the lender's own loss)</t>
        </is>
      </c>
      <c r="B28" s="24">
        <f>B14*Inputs!$B$32</f>
        <v/>
      </c>
      <c r="C28" t="inlineStr">
        <is>
          <t>Loss to lender</t>
        </is>
      </c>
      <c r="D28" t="inlineStr">
        <is>
          <t>Defaulted principal x lender risk share</t>
        </is>
      </c>
    </row>
    <row r="29">
      <c r="A29" t="inlineStr">
        <is>
          <t>Lender's risk-share compensation paid into the fund</t>
        </is>
      </c>
      <c r="B29" s="24">
        <f>'Monthly cycle'!$Z$16</f>
        <v/>
      </c>
      <c r="C29" t="inlineStr">
        <is>
          <t>Lenders -&gt; TAMISEMI</t>
        </is>
      </c>
      <c r="D29" t="inlineStr">
        <is>
          <t>Should equal the lender's risk share above</t>
        </is>
      </c>
    </row>
    <row r="30">
      <c r="A30" s="3" t="inlineStr">
        <is>
          <t>Lender's net result (margin - own risk share - principal kept)</t>
        </is>
      </c>
      <c r="B30" s="8">
        <f>B25-B28+B17</f>
        <v/>
      </c>
      <c r="C30" t="inlineStr"/>
      <c r="D30" t="inlineStr">
        <is>
          <t>Whether lending is worth it for the lender</t>
        </is>
      </c>
    </row>
    <row r="31">
      <c r="A31" s="5" t="inlineStr">
        <is>
          <t>5. CORPUS CHECK (after all loans close)</t>
        </is>
      </c>
      <c r="B31" s="6" t="n"/>
      <c r="C31" s="6" t="n"/>
      <c r="D31" s="6" t="n"/>
    </row>
    <row r="32">
      <c r="A32" t="inlineStr">
        <is>
          <t>Corpus at start</t>
        </is>
      </c>
      <c r="B32" s="24">
        <f>Inputs!$B$9</f>
        <v/>
      </c>
      <c r="C32" t="inlineStr"/>
      <c r="D32" t="inlineStr"/>
    </row>
    <row r="33">
      <c r="A33" t="inlineStr">
        <is>
          <t>Less: TAMISEMI's risk share of defaults</t>
        </is>
      </c>
      <c r="B33" s="24">
        <f>-B27</f>
        <v/>
      </c>
      <c r="C33" t="inlineStr"/>
      <c r="D33" t="inlineStr"/>
    </row>
    <row r="34">
      <c r="A34" t="inlineStr">
        <is>
          <t>Less: repaid principal kept by the lender</t>
        </is>
      </c>
      <c r="B34" s="24">
        <f>-B17</f>
        <v/>
      </c>
      <c r="C34" t="inlineStr"/>
      <c r="D34" t="inlineStr"/>
    </row>
    <row r="35">
      <c r="A35" t="inlineStr">
        <is>
          <t>Plus default budget added back</t>
        </is>
      </c>
      <c r="B35" s="24">
        <f>B21</f>
        <v/>
      </c>
      <c r="C35" t="inlineStr"/>
      <c r="D35" t="inlineStr">
        <is>
          <t>Covers TAMISEMI's risk share of defaults</t>
        </is>
      </c>
    </row>
    <row r="36">
      <c r="A36" s="3" t="inlineStr">
        <is>
          <t>Corpus at end</t>
        </is>
      </c>
      <c r="B36" s="8">
        <f>B32+B33+B34+B35</f>
        <v/>
      </c>
      <c r="C36" t="inlineStr"/>
      <c r="D36" t="inlineStr"/>
    </row>
    <row r="37">
      <c r="A37" t="inlineStr">
        <is>
          <t>Gap (end - start)</t>
        </is>
      </c>
      <c r="B37" s="24">
        <f>B36-B32</f>
        <v/>
      </c>
      <c r="C37" t="inlineStr"/>
      <c r="D37" t="inlineStr">
        <is>
          <t>Negative = corpus NOT restored</t>
        </is>
      </c>
    </row>
    <row r="38">
      <c r="A38" s="3" t="inlineStr">
        <is>
          <t>Result</t>
        </is>
      </c>
      <c r="B38" s="12">
        <f>IF(B37&gt;=-0.5,"Corpus restored","Corpus NOT restored - raise interest share for defaults or rate")</f>
        <v/>
      </c>
      <c r="C38" t="inlineStr"/>
      <c r="D38" t="inlineStr"/>
    </row>
    <row r="39">
      <c r="A39" t="inlineStr">
        <is>
          <t>Default budget needed (% of interest)</t>
        </is>
      </c>
      <c r="B39" s="25">
        <f>IF(B18=0,0,B27/B18)</f>
        <v/>
      </c>
      <c r="C39" t="inlineStr"/>
      <c r="D39" t="inlineStr">
        <is>
          <t>Minimum share of interest to cover TAMISEMI's risk share of defaults</t>
        </is>
      </c>
    </row>
    <row r="40">
      <c r="A40" t="inlineStr">
        <is>
          <t>Break-even default rate</t>
        </is>
      </c>
      <c r="B40" s="25">
        <f>Inputs!$B$22*Inputs!$B$12*Inputs!$B$14/12/(Inputs!$B$31+Inputs!$B$22*Inputs!$B$12*Inputs!$B$14/12)</f>
        <v/>
      </c>
      <c r="C40" t="inlineStr"/>
      <c r="D40" t="inlineStr">
        <is>
          <t>Highest default rate the current split and risk share can cover</t>
        </is>
      </c>
      <c r="F40" s="26" t="inlineStr">
        <is>
          <t>Chart data (auto - do not edit)</t>
        </is>
      </c>
    </row>
    <row r="41">
      <c r="A41" t="inlineStr">
        <is>
          <t>Check: matches month-24 cash on 'Monthly cycle'</t>
        </is>
      </c>
      <c r="B41" s="27">
        <f>IF(ABS(B36-'Monthly cycle'!Y18)&lt;1,"OK","ERROR")</f>
        <v/>
      </c>
      <c r="C41" t="inlineStr"/>
      <c r="D41" t="inlineStr"/>
      <c r="F41" t="inlineStr">
        <is>
          <t>Money not lent (returned to TAMISEMI)</t>
        </is>
      </c>
      <c r="G41" s="17">
        <f>B10</f>
        <v/>
      </c>
    </row>
    <row r="42">
      <c r="A42" s="5" t="inlineStr">
        <is>
          <t>6. YEAR-END TIMING (from 'Monthly cycle')</t>
        </is>
      </c>
      <c r="B42" s="6" t="n"/>
      <c r="C42" s="6" t="n"/>
      <c r="D42" s="6" t="n"/>
      <c r="F42" t="inlineStr">
        <is>
          <t>Principal repaid</t>
        </is>
      </c>
      <c r="G42" s="17">
        <f>B15</f>
        <v/>
      </c>
    </row>
    <row r="43">
      <c r="A43" t="inlineStr">
        <is>
          <t>Cash back in the fund at month 12</t>
        </is>
      </c>
      <c r="B43" s="24">
        <f>'Monthly cycle'!B23</f>
        <v/>
      </c>
      <c r="C43" t="inlineStr"/>
      <c r="D43" t="inlineStr"/>
      <c r="F43" t="inlineStr">
        <is>
          <t>Interest collected</t>
        </is>
      </c>
      <c r="G43" s="17">
        <f>B18</f>
        <v/>
      </c>
    </row>
    <row r="44">
      <c r="A44" t="inlineStr">
        <is>
          <t>Still out on loan at month 12</t>
        </is>
      </c>
      <c r="B44" s="24">
        <f>'Monthly cycle'!B24</f>
        <v/>
      </c>
      <c r="C44" t="inlineStr"/>
      <c r="D44" t="inlineStr">
        <is>
          <t>Comes back in year 2</t>
        </is>
      </c>
    </row>
    <row r="45">
      <c r="A45" t="inlineStr">
        <is>
          <t>First month corpus fully back as cash</t>
        </is>
      </c>
      <c r="B45" s="28">
        <f>'Monthly cycle'!B29</f>
        <v/>
      </c>
      <c r="C45" t="inlineStr"/>
      <c r="D45" t="inlineStr"/>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Monthly cycle (24 months: year 1 lending, year 2 run-off)</t>
        </is>
      </c>
    </row>
    <row r="2">
      <c r="A2" s="2" t="inlineStr">
        <is>
          <t>Enter the % of the allocated amount lent as NEW loans each month (yellow, months 1-12). Repayments are equal monthly instalments over the loan term.</t>
        </is>
      </c>
    </row>
    <row r="4">
      <c r="A4" s="4" t="inlineStr">
        <is>
          <t>Line</t>
        </is>
      </c>
      <c r="B4" s="4" t="inlineStr">
        <is>
          <t>M1</t>
        </is>
      </c>
      <c r="C4" s="4" t="inlineStr">
        <is>
          <t>M2</t>
        </is>
      </c>
      <c r="D4" s="4" t="inlineStr">
        <is>
          <t>M3</t>
        </is>
      </c>
      <c r="E4" s="4" t="inlineStr">
        <is>
          <t>M4</t>
        </is>
      </c>
      <c r="F4" s="4" t="inlineStr">
        <is>
          <t>M5</t>
        </is>
      </c>
      <c r="G4" s="4" t="inlineStr">
        <is>
          <t>M6</t>
        </is>
      </c>
      <c r="H4" s="4" t="inlineStr">
        <is>
          <t>M7</t>
        </is>
      </c>
      <c r="I4" s="4" t="inlineStr">
        <is>
          <t>M8</t>
        </is>
      </c>
      <c r="J4" s="4" t="inlineStr">
        <is>
          <t>M9</t>
        </is>
      </c>
      <c r="K4" s="4" t="inlineStr">
        <is>
          <t>M10</t>
        </is>
      </c>
      <c r="L4" s="4" t="inlineStr">
        <is>
          <t>M11</t>
        </is>
      </c>
      <c r="M4" s="4" t="inlineStr">
        <is>
          <t>M12</t>
        </is>
      </c>
      <c r="N4" s="4" t="inlineStr">
        <is>
          <t>M13</t>
        </is>
      </c>
      <c r="O4" s="4" t="inlineStr">
        <is>
          <t>M14</t>
        </is>
      </c>
      <c r="P4" s="4" t="inlineStr">
        <is>
          <t>M15</t>
        </is>
      </c>
      <c r="Q4" s="4" t="inlineStr">
        <is>
          <t>M16</t>
        </is>
      </c>
      <c r="R4" s="4" t="inlineStr">
        <is>
          <t>M17</t>
        </is>
      </c>
      <c r="S4" s="4" t="inlineStr">
        <is>
          <t>M18</t>
        </is>
      </c>
      <c r="T4" s="4" t="inlineStr">
        <is>
          <t>M19</t>
        </is>
      </c>
      <c r="U4" s="4" t="inlineStr">
        <is>
          <t>M20</t>
        </is>
      </c>
      <c r="V4" s="4" t="inlineStr">
        <is>
          <t>M21</t>
        </is>
      </c>
      <c r="W4" s="4" t="inlineStr">
        <is>
          <t>M22</t>
        </is>
      </c>
      <c r="X4" s="4" t="inlineStr">
        <is>
          <t>M23</t>
        </is>
      </c>
      <c r="Y4" s="4" t="inlineStr">
        <is>
          <t>M24</t>
        </is>
      </c>
      <c r="Z4" s="4" t="inlineStr">
        <is>
          <t>Total</t>
        </is>
      </c>
    </row>
    <row r="5">
      <c r="A5" t="inlineStr">
        <is>
          <t>Month number</t>
        </is>
      </c>
      <c r="B5" s="3" t="n">
        <v>1</v>
      </c>
      <c r="C5" s="3" t="n">
        <v>2</v>
      </c>
      <c r="D5" s="3" t="n">
        <v>3</v>
      </c>
      <c r="E5" s="3" t="n">
        <v>4</v>
      </c>
      <c r="F5" s="3" t="n">
        <v>5</v>
      </c>
      <c r="G5" s="3" t="n">
        <v>6</v>
      </c>
      <c r="H5" s="3" t="n">
        <v>7</v>
      </c>
      <c r="I5" s="3" t="n">
        <v>8</v>
      </c>
      <c r="J5" s="3" t="n">
        <v>9</v>
      </c>
      <c r="K5" s="3" t="n">
        <v>10</v>
      </c>
      <c r="L5" s="3" t="n">
        <v>11</v>
      </c>
      <c r="M5" s="29" t="n">
        <v>12</v>
      </c>
      <c r="N5" s="3" t="n">
        <v>13</v>
      </c>
      <c r="O5" s="3" t="n">
        <v>14</v>
      </c>
      <c r="P5" s="3" t="n">
        <v>15</v>
      </c>
      <c r="Q5" s="3" t="n">
        <v>16</v>
      </c>
      <c r="R5" s="3" t="n">
        <v>17</v>
      </c>
      <c r="S5" s="3" t="n">
        <v>18</v>
      </c>
      <c r="T5" s="3" t="n">
        <v>19</v>
      </c>
      <c r="U5" s="3" t="n">
        <v>20</v>
      </c>
      <c r="V5" s="3" t="n">
        <v>21</v>
      </c>
      <c r="W5" s="3" t="n">
        <v>22</v>
      </c>
      <c r="X5" s="3" t="n">
        <v>23</v>
      </c>
      <c r="Y5" s="3" t="n">
        <v>24</v>
      </c>
    </row>
    <row r="6">
      <c r="A6" t="inlineStr">
        <is>
          <t>Year</t>
        </is>
      </c>
      <c r="B6" t="n">
        <v>1</v>
      </c>
      <c r="C6" t="n">
        <v>1</v>
      </c>
      <c r="D6" t="n">
        <v>1</v>
      </c>
      <c r="E6" t="n">
        <v>1</v>
      </c>
      <c r="F6" t="n">
        <v>1</v>
      </c>
      <c r="G6" t="n">
        <v>1</v>
      </c>
      <c r="H6" t="n">
        <v>1</v>
      </c>
      <c r="I6" t="n">
        <v>1</v>
      </c>
      <c r="J6" t="n">
        <v>1</v>
      </c>
      <c r="K6" t="n">
        <v>1</v>
      </c>
      <c r="L6" t="n">
        <v>1</v>
      </c>
      <c r="M6" s="30" t="n">
        <v>1</v>
      </c>
      <c r="N6" t="n">
        <v>2</v>
      </c>
      <c r="O6" t="n">
        <v>2</v>
      </c>
      <c r="P6" t="n">
        <v>2</v>
      </c>
      <c r="Q6" t="n">
        <v>2</v>
      </c>
      <c r="R6" t="n">
        <v>2</v>
      </c>
      <c r="S6" t="n">
        <v>2</v>
      </c>
      <c r="T6" t="n">
        <v>2</v>
      </c>
      <c r="U6" t="n">
        <v>2</v>
      </c>
      <c r="V6" t="n">
        <v>2</v>
      </c>
      <c r="W6" t="n">
        <v>2</v>
      </c>
      <c r="X6" t="n">
        <v>2</v>
      </c>
      <c r="Y6" t="n">
        <v>2</v>
      </c>
    </row>
    <row r="7">
      <c r="A7" t="inlineStr">
        <is>
          <t>% of allocation lent as NEW loans this month</t>
        </is>
      </c>
      <c r="B7" s="10" t="n">
        <v>0.25</v>
      </c>
      <c r="C7" s="10" t="n">
        <v>0.2</v>
      </c>
      <c r="D7" s="10" t="n">
        <v>0.15</v>
      </c>
      <c r="E7" s="10" t="n">
        <v>0.1</v>
      </c>
      <c r="F7" s="10" t="n">
        <v>0.1</v>
      </c>
      <c r="G7" s="10" t="n">
        <v>0.1</v>
      </c>
      <c r="H7" s="10" t="n">
        <v>0.05</v>
      </c>
      <c r="I7" s="10" t="n">
        <v>0.05</v>
      </c>
      <c r="J7" s="10" t="n">
        <v>0</v>
      </c>
      <c r="K7" s="10" t="n">
        <v>0</v>
      </c>
      <c r="L7" s="10" t="n">
        <v>0</v>
      </c>
      <c r="M7" s="31" t="n">
        <v>0</v>
      </c>
      <c r="N7" s="32" t="n">
        <v>0</v>
      </c>
      <c r="O7" s="32" t="n">
        <v>0</v>
      </c>
      <c r="P7" s="32" t="n">
        <v>0</v>
      </c>
      <c r="Q7" s="32" t="n">
        <v>0</v>
      </c>
      <c r="R7" s="32" t="n">
        <v>0</v>
      </c>
      <c r="S7" s="32" t="n">
        <v>0</v>
      </c>
      <c r="T7" s="32" t="n">
        <v>0</v>
      </c>
      <c r="U7" s="32" t="n">
        <v>0</v>
      </c>
      <c r="V7" s="32" t="n">
        <v>0</v>
      </c>
      <c r="W7" s="32" t="n">
        <v>0</v>
      </c>
      <c r="X7" s="32" t="n">
        <v>0</v>
      </c>
      <c r="Y7" s="32" t="n">
        <v>0</v>
      </c>
      <c r="Z7" s="19">
        <f>SUM(B7:M7)</f>
        <v/>
      </c>
    </row>
    <row r="8">
      <c r="A8" t="inlineStr">
        <is>
          <t>New loans from the corpus</t>
        </is>
      </c>
      <c r="B8" s="17">
        <f>IF(B$5&lt;=Inputs!$B$18,B7*Districts!$I$25,0)</f>
        <v/>
      </c>
      <c r="C8" s="17">
        <f>IF(C$5&lt;=Inputs!$B$18,C7*Districts!$I$25,0)</f>
        <v/>
      </c>
      <c r="D8" s="17">
        <f>IF(D$5&lt;=Inputs!$B$18,D7*Districts!$I$25,0)</f>
        <v/>
      </c>
      <c r="E8" s="17">
        <f>IF(E$5&lt;=Inputs!$B$18,E7*Districts!$I$25,0)</f>
        <v/>
      </c>
      <c r="F8" s="17">
        <f>IF(F$5&lt;=Inputs!$B$18,F7*Districts!$I$25,0)</f>
        <v/>
      </c>
      <c r="G8" s="17">
        <f>IF(G$5&lt;=Inputs!$B$18,G7*Districts!$I$25,0)</f>
        <v/>
      </c>
      <c r="H8" s="17">
        <f>IF(H$5&lt;=Inputs!$B$18,H7*Districts!$I$25,0)</f>
        <v/>
      </c>
      <c r="I8" s="17">
        <f>IF(I$5&lt;=Inputs!$B$18,I7*Districts!$I$25,0)</f>
        <v/>
      </c>
      <c r="J8" s="17">
        <f>IF(J$5&lt;=Inputs!$B$18,J7*Districts!$I$25,0)</f>
        <v/>
      </c>
      <c r="K8" s="17">
        <f>IF(K$5&lt;=Inputs!$B$18,K7*Districts!$I$25,0)</f>
        <v/>
      </c>
      <c r="L8" s="17">
        <f>IF(L$5&lt;=Inputs!$B$18,L7*Districts!$I$25,0)</f>
        <v/>
      </c>
      <c r="M8" s="33">
        <f>IF(M$5&lt;=Inputs!$B$18,M7*Districts!$I$25,0)</f>
        <v/>
      </c>
      <c r="N8" s="17">
        <f>IF(N$5&lt;=Inputs!$B$18,N7*Districts!$I$25,0)</f>
        <v/>
      </c>
      <c r="O8" s="17">
        <f>IF(O$5&lt;=Inputs!$B$18,O7*Districts!$I$25,0)</f>
        <v/>
      </c>
      <c r="P8" s="17">
        <f>IF(P$5&lt;=Inputs!$B$18,P7*Districts!$I$25,0)</f>
        <v/>
      </c>
      <c r="Q8" s="17">
        <f>IF(Q$5&lt;=Inputs!$B$18,Q7*Districts!$I$25,0)</f>
        <v/>
      </c>
      <c r="R8" s="17">
        <f>IF(R$5&lt;=Inputs!$B$18,R7*Districts!$I$25,0)</f>
        <v/>
      </c>
      <c r="S8" s="17">
        <f>IF(S$5&lt;=Inputs!$B$18,S7*Districts!$I$25,0)</f>
        <v/>
      </c>
      <c r="T8" s="17">
        <f>IF(T$5&lt;=Inputs!$B$18,T7*Districts!$I$25,0)</f>
        <v/>
      </c>
      <c r="U8" s="17">
        <f>IF(U$5&lt;=Inputs!$B$18,U7*Districts!$I$25,0)</f>
        <v/>
      </c>
      <c r="V8" s="17">
        <f>IF(V$5&lt;=Inputs!$B$18,V7*Districts!$I$25,0)</f>
        <v/>
      </c>
      <c r="W8" s="17">
        <f>IF(W$5&lt;=Inputs!$B$18,W7*Districts!$I$25,0)</f>
        <v/>
      </c>
      <c r="X8" s="17">
        <f>IF(X$5&lt;=Inputs!$B$18,X7*Districts!$I$25,0)</f>
        <v/>
      </c>
      <c r="Y8" s="17">
        <f>IF(Y$5&lt;=Inputs!$B$18,Y7*Districts!$I$25,0)</f>
        <v/>
      </c>
      <c r="Z8" s="21">
        <f>SUM(B8:Y8)</f>
        <v/>
      </c>
    </row>
    <row r="9">
      <c r="A9" t="inlineStr">
        <is>
          <t>Re-lent repayments</t>
        </is>
      </c>
      <c r="B9" s="17">
        <f>0</f>
        <v/>
      </c>
      <c r="C9" s="17">
        <f>IF(C$5&lt;=Inputs!$B$18,B12*Inputs!$B$19,0)</f>
        <v/>
      </c>
      <c r="D9" s="17">
        <f>IF(D$5&lt;=Inputs!$B$18,C12*Inputs!$B$19,0)</f>
        <v/>
      </c>
      <c r="E9" s="17">
        <f>IF(E$5&lt;=Inputs!$B$18,D12*Inputs!$B$19,0)</f>
        <v/>
      </c>
      <c r="F9" s="17">
        <f>IF(F$5&lt;=Inputs!$B$18,E12*Inputs!$B$19,0)</f>
        <v/>
      </c>
      <c r="G9" s="17">
        <f>IF(G$5&lt;=Inputs!$B$18,F12*Inputs!$B$19,0)</f>
        <v/>
      </c>
      <c r="H9" s="17">
        <f>IF(H$5&lt;=Inputs!$B$18,G12*Inputs!$B$19,0)</f>
        <v/>
      </c>
      <c r="I9" s="17">
        <f>IF(I$5&lt;=Inputs!$B$18,H12*Inputs!$B$19,0)</f>
        <v/>
      </c>
      <c r="J9" s="17">
        <f>IF(J$5&lt;=Inputs!$B$18,I12*Inputs!$B$19,0)</f>
        <v/>
      </c>
      <c r="K9" s="17">
        <f>IF(K$5&lt;=Inputs!$B$18,J12*Inputs!$B$19,0)</f>
        <v/>
      </c>
      <c r="L9" s="17">
        <f>IF(L$5&lt;=Inputs!$B$18,K12*Inputs!$B$19,0)</f>
        <v/>
      </c>
      <c r="M9" s="33">
        <f>IF(M$5&lt;=Inputs!$B$18,L12*Inputs!$B$19,0)</f>
        <v/>
      </c>
      <c r="N9" s="17">
        <f>IF(N$5&lt;=Inputs!$B$18,M12*Inputs!$B$19,0)</f>
        <v/>
      </c>
      <c r="O9" s="17">
        <f>IF(O$5&lt;=Inputs!$B$18,N12*Inputs!$B$19,0)</f>
        <v/>
      </c>
      <c r="P9" s="17">
        <f>IF(P$5&lt;=Inputs!$B$18,O12*Inputs!$B$19,0)</f>
        <v/>
      </c>
      <c r="Q9" s="17">
        <f>IF(Q$5&lt;=Inputs!$B$18,P12*Inputs!$B$19,0)</f>
        <v/>
      </c>
      <c r="R9" s="17">
        <f>IF(R$5&lt;=Inputs!$B$18,Q12*Inputs!$B$19,0)</f>
        <v/>
      </c>
      <c r="S9" s="17">
        <f>IF(S$5&lt;=Inputs!$B$18,R12*Inputs!$B$19,0)</f>
        <v/>
      </c>
      <c r="T9" s="17">
        <f>IF(T$5&lt;=Inputs!$B$18,S12*Inputs!$B$19,0)</f>
        <v/>
      </c>
      <c r="U9" s="17">
        <f>IF(U$5&lt;=Inputs!$B$18,T12*Inputs!$B$19,0)</f>
        <v/>
      </c>
      <c r="V9" s="17">
        <f>IF(V$5&lt;=Inputs!$B$18,U12*Inputs!$B$19,0)</f>
        <v/>
      </c>
      <c r="W9" s="17">
        <f>IF(W$5&lt;=Inputs!$B$18,V12*Inputs!$B$19,0)</f>
        <v/>
      </c>
      <c r="X9" s="17">
        <f>IF(X$5&lt;=Inputs!$B$18,W12*Inputs!$B$19,0)</f>
        <v/>
      </c>
      <c r="Y9" s="17">
        <f>IF(Y$5&lt;=Inputs!$B$18,X12*Inputs!$B$19,0)</f>
        <v/>
      </c>
      <c r="Z9" s="21">
        <f>SUM(B9:Y9)</f>
        <v/>
      </c>
    </row>
    <row r="10">
      <c r="A10" s="3" t="inlineStr">
        <is>
          <t>Total loans made this month</t>
        </is>
      </c>
      <c r="B10" s="17">
        <f>B8+B9</f>
        <v/>
      </c>
      <c r="C10" s="17">
        <f>C8+C9</f>
        <v/>
      </c>
      <c r="D10" s="17">
        <f>D8+D9</f>
        <v/>
      </c>
      <c r="E10" s="17">
        <f>E8+E9</f>
        <v/>
      </c>
      <c r="F10" s="17">
        <f>F8+F9</f>
        <v/>
      </c>
      <c r="G10" s="17">
        <f>G8+G9</f>
        <v/>
      </c>
      <c r="H10" s="17">
        <f>H8+H9</f>
        <v/>
      </c>
      <c r="I10" s="17">
        <f>I8+I9</f>
        <v/>
      </c>
      <c r="J10" s="17">
        <f>J8+J9</f>
        <v/>
      </c>
      <c r="K10" s="17">
        <f>K8+K9</f>
        <v/>
      </c>
      <c r="L10" s="17">
        <f>L8+L9</f>
        <v/>
      </c>
      <c r="M10" s="33">
        <f>M8+M9</f>
        <v/>
      </c>
      <c r="N10" s="17">
        <f>N8+N9</f>
        <v/>
      </c>
      <c r="O10" s="17">
        <f>O8+O9</f>
        <v/>
      </c>
      <c r="P10" s="17">
        <f>P8+P9</f>
        <v/>
      </c>
      <c r="Q10" s="17">
        <f>Q8+Q9</f>
        <v/>
      </c>
      <c r="R10" s="17">
        <f>R8+R9</f>
        <v/>
      </c>
      <c r="S10" s="17">
        <f>S8+S9</f>
        <v/>
      </c>
      <c r="T10" s="17">
        <f>T8+T9</f>
        <v/>
      </c>
      <c r="U10" s="17">
        <f>U8+U9</f>
        <v/>
      </c>
      <c r="V10" s="17">
        <f>V8+V9</f>
        <v/>
      </c>
      <c r="W10" s="17">
        <f>W8+W9</f>
        <v/>
      </c>
      <c r="X10" s="17">
        <f>X8+X9</f>
        <v/>
      </c>
      <c r="Y10" s="17">
        <f>Y8+Y9</f>
        <v/>
      </c>
      <c r="Z10" s="21">
        <f>SUM(B10:Y10)</f>
        <v/>
      </c>
    </row>
    <row r="11">
      <c r="A11" t="inlineStr">
        <is>
          <t>Principal due</t>
        </is>
      </c>
      <c r="B11" s="17">
        <f>0</f>
        <v/>
      </c>
      <c r="C11" s="17">
        <f>SUMIFS($B10:B10,$B$5:B$5,"&gt;="&amp;(C$5-Inputs!$B$14))/Inputs!$B$14</f>
        <v/>
      </c>
      <c r="D11" s="17">
        <f>SUMIFS($B10:C10,$B$5:C$5,"&gt;="&amp;(D$5-Inputs!$B$14))/Inputs!$B$14</f>
        <v/>
      </c>
      <c r="E11" s="17">
        <f>SUMIFS($B10:D10,$B$5:D$5,"&gt;="&amp;(E$5-Inputs!$B$14))/Inputs!$B$14</f>
        <v/>
      </c>
      <c r="F11" s="17">
        <f>SUMIFS($B10:E10,$B$5:E$5,"&gt;="&amp;(F$5-Inputs!$B$14))/Inputs!$B$14</f>
        <v/>
      </c>
      <c r="G11" s="17">
        <f>SUMIFS($B10:F10,$B$5:F$5,"&gt;="&amp;(G$5-Inputs!$B$14))/Inputs!$B$14</f>
        <v/>
      </c>
      <c r="H11" s="17">
        <f>SUMIFS($B10:G10,$B$5:G$5,"&gt;="&amp;(H$5-Inputs!$B$14))/Inputs!$B$14</f>
        <v/>
      </c>
      <c r="I11" s="17">
        <f>SUMIFS($B10:H10,$B$5:H$5,"&gt;="&amp;(I$5-Inputs!$B$14))/Inputs!$B$14</f>
        <v/>
      </c>
      <c r="J11" s="17">
        <f>SUMIFS($B10:I10,$B$5:I$5,"&gt;="&amp;(J$5-Inputs!$B$14))/Inputs!$B$14</f>
        <v/>
      </c>
      <c r="K11" s="17">
        <f>SUMIFS($B10:J10,$B$5:J$5,"&gt;="&amp;(K$5-Inputs!$B$14))/Inputs!$B$14</f>
        <v/>
      </c>
      <c r="L11" s="17">
        <f>SUMIFS($B10:K10,$B$5:K$5,"&gt;="&amp;(L$5-Inputs!$B$14))/Inputs!$B$14</f>
        <v/>
      </c>
      <c r="M11" s="33">
        <f>SUMIFS($B10:L10,$B$5:L$5,"&gt;="&amp;(M$5-Inputs!$B$14))/Inputs!$B$14</f>
        <v/>
      </c>
      <c r="N11" s="17">
        <f>SUMIFS($B10:M10,$B$5:M$5,"&gt;="&amp;(N$5-Inputs!$B$14))/Inputs!$B$14</f>
        <v/>
      </c>
      <c r="O11" s="17">
        <f>SUMIFS($B10:N10,$B$5:N$5,"&gt;="&amp;(O$5-Inputs!$B$14))/Inputs!$B$14</f>
        <v/>
      </c>
      <c r="P11" s="17">
        <f>SUMIFS($B10:O10,$B$5:O$5,"&gt;="&amp;(P$5-Inputs!$B$14))/Inputs!$B$14</f>
        <v/>
      </c>
      <c r="Q11" s="17">
        <f>SUMIFS($B10:P10,$B$5:P$5,"&gt;="&amp;(Q$5-Inputs!$B$14))/Inputs!$B$14</f>
        <v/>
      </c>
      <c r="R11" s="17">
        <f>SUMIFS($B10:Q10,$B$5:Q$5,"&gt;="&amp;(R$5-Inputs!$B$14))/Inputs!$B$14</f>
        <v/>
      </c>
      <c r="S11" s="17">
        <f>SUMIFS($B10:R10,$B$5:R$5,"&gt;="&amp;(S$5-Inputs!$B$14))/Inputs!$B$14</f>
        <v/>
      </c>
      <c r="T11" s="17">
        <f>SUMIFS($B10:S10,$B$5:S$5,"&gt;="&amp;(T$5-Inputs!$B$14))/Inputs!$B$14</f>
        <v/>
      </c>
      <c r="U11" s="17">
        <f>SUMIFS($B10:T10,$B$5:T$5,"&gt;="&amp;(U$5-Inputs!$B$14))/Inputs!$B$14</f>
        <v/>
      </c>
      <c r="V11" s="17">
        <f>SUMIFS($B10:U10,$B$5:U$5,"&gt;="&amp;(V$5-Inputs!$B$14))/Inputs!$B$14</f>
        <v/>
      </c>
      <c r="W11" s="17">
        <f>SUMIFS($B10:V10,$B$5:V$5,"&gt;="&amp;(W$5-Inputs!$B$14))/Inputs!$B$14</f>
        <v/>
      </c>
      <c r="X11" s="17">
        <f>SUMIFS($B10:W10,$B$5:W$5,"&gt;="&amp;(X$5-Inputs!$B$14))/Inputs!$B$14</f>
        <v/>
      </c>
      <c r="Y11" s="17">
        <f>SUMIFS($B10:X10,$B$5:X$5,"&gt;="&amp;(Y$5-Inputs!$B$14))/Inputs!$B$14</f>
        <v/>
      </c>
      <c r="Z11" s="21">
        <f>SUM(B11:Y11)</f>
        <v/>
      </c>
    </row>
    <row r="12">
      <c r="A12" t="inlineStr">
        <is>
          <t>Principal repaid by CMGs (gross, after defaults)</t>
        </is>
      </c>
      <c r="B12" s="17">
        <f>B11*(1-Inputs!$B$16)</f>
        <v/>
      </c>
      <c r="C12" s="17">
        <f>C11*(1-Inputs!$B$16)</f>
        <v/>
      </c>
      <c r="D12" s="17">
        <f>D11*(1-Inputs!$B$16)</f>
        <v/>
      </c>
      <c r="E12" s="17">
        <f>E11*(1-Inputs!$B$16)</f>
        <v/>
      </c>
      <c r="F12" s="17">
        <f>F11*(1-Inputs!$B$16)</f>
        <v/>
      </c>
      <c r="G12" s="17">
        <f>G11*(1-Inputs!$B$16)</f>
        <v/>
      </c>
      <c r="H12" s="17">
        <f>H11*(1-Inputs!$B$16)</f>
        <v/>
      </c>
      <c r="I12" s="17">
        <f>I11*(1-Inputs!$B$16)</f>
        <v/>
      </c>
      <c r="J12" s="17">
        <f>J11*(1-Inputs!$B$16)</f>
        <v/>
      </c>
      <c r="K12" s="17">
        <f>K11*(1-Inputs!$B$16)</f>
        <v/>
      </c>
      <c r="L12" s="17">
        <f>L11*(1-Inputs!$B$16)</f>
        <v/>
      </c>
      <c r="M12" s="33">
        <f>M11*(1-Inputs!$B$16)</f>
        <v/>
      </c>
      <c r="N12" s="17">
        <f>N11*(1-Inputs!$B$16)</f>
        <v/>
      </c>
      <c r="O12" s="17">
        <f>O11*(1-Inputs!$B$16)</f>
        <v/>
      </c>
      <c r="P12" s="17">
        <f>P11*(1-Inputs!$B$16)</f>
        <v/>
      </c>
      <c r="Q12" s="17">
        <f>Q11*(1-Inputs!$B$16)</f>
        <v/>
      </c>
      <c r="R12" s="17">
        <f>R11*(1-Inputs!$B$16)</f>
        <v/>
      </c>
      <c r="S12" s="17">
        <f>S11*(1-Inputs!$B$16)</f>
        <v/>
      </c>
      <c r="T12" s="17">
        <f>T11*(1-Inputs!$B$16)</f>
        <v/>
      </c>
      <c r="U12" s="17">
        <f>U11*(1-Inputs!$B$16)</f>
        <v/>
      </c>
      <c r="V12" s="17">
        <f>V11*(1-Inputs!$B$16)</f>
        <v/>
      </c>
      <c r="W12" s="17">
        <f>W11*(1-Inputs!$B$16)</f>
        <v/>
      </c>
      <c r="X12" s="17">
        <f>X11*(1-Inputs!$B$16)</f>
        <v/>
      </c>
      <c r="Y12" s="17">
        <f>Y11*(1-Inputs!$B$16)</f>
        <v/>
      </c>
      <c r="Z12" s="21">
        <f>SUM(B12:Y12)</f>
        <v/>
      </c>
    </row>
    <row r="13">
      <c r="A13" t="inlineStr">
        <is>
          <t>Interest collected</t>
        </is>
      </c>
      <c r="B13" s="17">
        <f>B12*Inputs!$B$12/12*Inputs!$B$14</f>
        <v/>
      </c>
      <c r="C13" s="17">
        <f>C12*Inputs!$B$12/12*Inputs!$B$14</f>
        <v/>
      </c>
      <c r="D13" s="17">
        <f>D12*Inputs!$B$12/12*Inputs!$B$14</f>
        <v/>
      </c>
      <c r="E13" s="17">
        <f>E12*Inputs!$B$12/12*Inputs!$B$14</f>
        <v/>
      </c>
      <c r="F13" s="17">
        <f>F12*Inputs!$B$12/12*Inputs!$B$14</f>
        <v/>
      </c>
      <c r="G13" s="17">
        <f>G12*Inputs!$B$12/12*Inputs!$B$14</f>
        <v/>
      </c>
      <c r="H13" s="17">
        <f>H12*Inputs!$B$12/12*Inputs!$B$14</f>
        <v/>
      </c>
      <c r="I13" s="17">
        <f>I12*Inputs!$B$12/12*Inputs!$B$14</f>
        <v/>
      </c>
      <c r="J13" s="17">
        <f>J12*Inputs!$B$12/12*Inputs!$B$14</f>
        <v/>
      </c>
      <c r="K13" s="17">
        <f>K12*Inputs!$B$12/12*Inputs!$B$14</f>
        <v/>
      </c>
      <c r="L13" s="17">
        <f>L12*Inputs!$B$12/12*Inputs!$B$14</f>
        <v/>
      </c>
      <c r="M13" s="33">
        <f>M12*Inputs!$B$12/12*Inputs!$B$14</f>
        <v/>
      </c>
      <c r="N13" s="17">
        <f>N12*Inputs!$B$12/12*Inputs!$B$14</f>
        <v/>
      </c>
      <c r="O13" s="17">
        <f>O12*Inputs!$B$12/12*Inputs!$B$14</f>
        <v/>
      </c>
      <c r="P13" s="17">
        <f>P12*Inputs!$B$12/12*Inputs!$B$14</f>
        <v/>
      </c>
      <c r="Q13" s="17">
        <f>Q12*Inputs!$B$12/12*Inputs!$B$14</f>
        <v/>
      </c>
      <c r="R13" s="17">
        <f>R12*Inputs!$B$12/12*Inputs!$B$14</f>
        <v/>
      </c>
      <c r="S13" s="17">
        <f>S12*Inputs!$B$12/12*Inputs!$B$14</f>
        <v/>
      </c>
      <c r="T13" s="17">
        <f>T12*Inputs!$B$12/12*Inputs!$B$14</f>
        <v/>
      </c>
      <c r="U13" s="17">
        <f>U12*Inputs!$B$12/12*Inputs!$B$14</f>
        <v/>
      </c>
      <c r="V13" s="17">
        <f>V12*Inputs!$B$12/12*Inputs!$B$14</f>
        <v/>
      </c>
      <c r="W13" s="17">
        <f>W12*Inputs!$B$12/12*Inputs!$B$14</f>
        <v/>
      </c>
      <c r="X13" s="17">
        <f>X12*Inputs!$B$12/12*Inputs!$B$14</f>
        <v/>
      </c>
      <c r="Y13" s="17">
        <f>Y12*Inputs!$B$12/12*Inputs!$B$14</f>
        <v/>
      </c>
      <c r="Z13" s="21">
        <f>SUM(B13:Y13)</f>
        <v/>
      </c>
    </row>
    <row r="14">
      <c r="A14" t="inlineStr">
        <is>
          <t>Default budget returned to fund</t>
        </is>
      </c>
      <c r="B14" s="17">
        <f>B13*Inputs!$B$22</f>
        <v/>
      </c>
      <c r="C14" s="17">
        <f>C13*Inputs!$B$22</f>
        <v/>
      </c>
      <c r="D14" s="17">
        <f>D13*Inputs!$B$22</f>
        <v/>
      </c>
      <c r="E14" s="17">
        <f>E13*Inputs!$B$22</f>
        <v/>
      </c>
      <c r="F14" s="17">
        <f>F13*Inputs!$B$22</f>
        <v/>
      </c>
      <c r="G14" s="17">
        <f>G13*Inputs!$B$22</f>
        <v/>
      </c>
      <c r="H14" s="17">
        <f>H13*Inputs!$B$22</f>
        <v/>
      </c>
      <c r="I14" s="17">
        <f>I13*Inputs!$B$22</f>
        <v/>
      </c>
      <c r="J14" s="17">
        <f>J13*Inputs!$B$22</f>
        <v/>
      </c>
      <c r="K14" s="17">
        <f>K13*Inputs!$B$22</f>
        <v/>
      </c>
      <c r="L14" s="17">
        <f>L13*Inputs!$B$22</f>
        <v/>
      </c>
      <c r="M14" s="33">
        <f>M13*Inputs!$B$22</f>
        <v/>
      </c>
      <c r="N14" s="17">
        <f>N13*Inputs!$B$22</f>
        <v/>
      </c>
      <c r="O14" s="17">
        <f>O13*Inputs!$B$22</f>
        <v/>
      </c>
      <c r="P14" s="17">
        <f>P13*Inputs!$B$22</f>
        <v/>
      </c>
      <c r="Q14" s="17">
        <f>Q13*Inputs!$B$22</f>
        <v/>
      </c>
      <c r="R14" s="17">
        <f>R13*Inputs!$B$22</f>
        <v/>
      </c>
      <c r="S14" s="17">
        <f>S13*Inputs!$B$22</f>
        <v/>
      </c>
      <c r="T14" s="17">
        <f>T13*Inputs!$B$22</f>
        <v/>
      </c>
      <c r="U14" s="17">
        <f>U13*Inputs!$B$22</f>
        <v/>
      </c>
      <c r="V14" s="17">
        <f>V13*Inputs!$B$22</f>
        <v/>
      </c>
      <c r="W14" s="17">
        <f>W13*Inputs!$B$22</f>
        <v/>
      </c>
      <c r="X14" s="17">
        <f>X13*Inputs!$B$22</f>
        <v/>
      </c>
      <c r="Y14" s="17">
        <f>Y13*Inputs!$B$22</f>
        <v/>
      </c>
      <c r="Z14" s="21">
        <f>SUM(B14:Y14)</f>
        <v/>
      </c>
    </row>
    <row r="15">
      <c r="A15" t="inlineStr">
        <is>
          <t>TAMISEMI's share of repaid principal (to fund cash)</t>
        </is>
      </c>
      <c r="B15" s="17">
        <f>B12*Inputs!$B$29</f>
        <v/>
      </c>
      <c r="C15" s="17">
        <f>C12*Inputs!$B$29</f>
        <v/>
      </c>
      <c r="D15" s="17">
        <f>D12*Inputs!$B$29</f>
        <v/>
      </c>
      <c r="E15" s="17">
        <f>E12*Inputs!$B$29</f>
        <v/>
      </c>
      <c r="F15" s="17">
        <f>F12*Inputs!$B$29</f>
        <v/>
      </c>
      <c r="G15" s="17">
        <f>G12*Inputs!$B$29</f>
        <v/>
      </c>
      <c r="H15" s="17">
        <f>H12*Inputs!$B$29</f>
        <v/>
      </c>
      <c r="I15" s="17">
        <f>I12*Inputs!$B$29</f>
        <v/>
      </c>
      <c r="J15" s="17">
        <f>J12*Inputs!$B$29</f>
        <v/>
      </c>
      <c r="K15" s="17">
        <f>K12*Inputs!$B$29</f>
        <v/>
      </c>
      <c r="L15" s="17">
        <f>L12*Inputs!$B$29</f>
        <v/>
      </c>
      <c r="M15" s="33">
        <f>M12*Inputs!$B$29</f>
        <v/>
      </c>
      <c r="N15" s="17">
        <f>N12*Inputs!$B$29</f>
        <v/>
      </c>
      <c r="O15" s="17">
        <f>O12*Inputs!$B$29</f>
        <v/>
      </c>
      <c r="P15" s="17">
        <f>P12*Inputs!$B$29</f>
        <v/>
      </c>
      <c r="Q15" s="17">
        <f>Q12*Inputs!$B$29</f>
        <v/>
      </c>
      <c r="R15" s="17">
        <f>R12*Inputs!$B$29</f>
        <v/>
      </c>
      <c r="S15" s="17">
        <f>S12*Inputs!$B$29</f>
        <v/>
      </c>
      <c r="T15" s="17">
        <f>T12*Inputs!$B$29</f>
        <v/>
      </c>
      <c r="U15" s="17">
        <f>U12*Inputs!$B$29</f>
        <v/>
      </c>
      <c r="V15" s="17">
        <f>V12*Inputs!$B$29</f>
        <v/>
      </c>
      <c r="W15" s="17">
        <f>W12*Inputs!$B$29</f>
        <v/>
      </c>
      <c r="X15" s="17">
        <f>X12*Inputs!$B$29</f>
        <v/>
      </c>
      <c r="Y15" s="17">
        <f>Y12*Inputs!$B$29</f>
        <v/>
      </c>
      <c r="Z15" s="21">
        <f>SUM(B15:Y15)</f>
        <v/>
      </c>
    </row>
    <row r="16">
      <c r="A16" t="inlineStr">
        <is>
          <t>Lender's risk-share compensation for defaults (to fund cash)</t>
        </is>
      </c>
      <c r="B16" s="17">
        <f>(B11-B12)*Inputs!$B$32</f>
        <v/>
      </c>
      <c r="C16" s="17">
        <f>(C11-C12)*Inputs!$B$32</f>
        <v/>
      </c>
      <c r="D16" s="17">
        <f>(D11-D12)*Inputs!$B$32</f>
        <v/>
      </c>
      <c r="E16" s="17">
        <f>(E11-E12)*Inputs!$B$32</f>
        <v/>
      </c>
      <c r="F16" s="17">
        <f>(F11-F12)*Inputs!$B$32</f>
        <v/>
      </c>
      <c r="G16" s="17">
        <f>(G11-G12)*Inputs!$B$32</f>
        <v/>
      </c>
      <c r="H16" s="17">
        <f>(H11-H12)*Inputs!$B$32</f>
        <v/>
      </c>
      <c r="I16" s="17">
        <f>(I11-I12)*Inputs!$B$32</f>
        <v/>
      </c>
      <c r="J16" s="17">
        <f>(J11-J12)*Inputs!$B$32</f>
        <v/>
      </c>
      <c r="K16" s="17">
        <f>(K11-K12)*Inputs!$B$32</f>
        <v/>
      </c>
      <c r="L16" s="17">
        <f>(L11-L12)*Inputs!$B$32</f>
        <v/>
      </c>
      <c r="M16" s="33">
        <f>(M11-M12)*Inputs!$B$32</f>
        <v/>
      </c>
      <c r="N16" s="17">
        <f>(N11-N12)*Inputs!$B$32</f>
        <v/>
      </c>
      <c r="O16" s="17">
        <f>(O11-O12)*Inputs!$B$32</f>
        <v/>
      </c>
      <c r="P16" s="17">
        <f>(P11-P12)*Inputs!$B$32</f>
        <v/>
      </c>
      <c r="Q16" s="17">
        <f>(Q11-Q12)*Inputs!$B$32</f>
        <v/>
      </c>
      <c r="R16" s="17">
        <f>(R11-R12)*Inputs!$B$32</f>
        <v/>
      </c>
      <c r="S16" s="17">
        <f>(S11-S12)*Inputs!$B$32</f>
        <v/>
      </c>
      <c r="T16" s="17">
        <f>(T11-T12)*Inputs!$B$32</f>
        <v/>
      </c>
      <c r="U16" s="17">
        <f>(U11-U12)*Inputs!$B$32</f>
        <v/>
      </c>
      <c r="V16" s="17">
        <f>(V11-V12)*Inputs!$B$32</f>
        <v/>
      </c>
      <c r="W16" s="17">
        <f>(W11-W12)*Inputs!$B$32</f>
        <v/>
      </c>
      <c r="X16" s="17">
        <f>(X11-X12)*Inputs!$B$32</f>
        <v/>
      </c>
      <c r="Y16" s="17">
        <f>(Y11-Y12)*Inputs!$B$32</f>
        <v/>
      </c>
      <c r="Z16" s="21">
        <f>SUM(B16:Y16)</f>
        <v/>
      </c>
    </row>
    <row r="17">
      <c r="A17" s="3" t="inlineStr">
        <is>
          <t>Loans outstanding (end of month)</t>
        </is>
      </c>
      <c r="B17" s="17">
        <f>0+B10-B11</f>
        <v/>
      </c>
      <c r="C17" s="17">
        <f>B17+C10-C11</f>
        <v/>
      </c>
      <c r="D17" s="17">
        <f>C17+D10-D11</f>
        <v/>
      </c>
      <c r="E17" s="17">
        <f>D17+E10-E11</f>
        <v/>
      </c>
      <c r="F17" s="17">
        <f>E17+F10-F11</f>
        <v/>
      </c>
      <c r="G17" s="17">
        <f>F17+G10-G11</f>
        <v/>
      </c>
      <c r="H17" s="17">
        <f>G17+H10-H11</f>
        <v/>
      </c>
      <c r="I17" s="17">
        <f>H17+I10-I11</f>
        <v/>
      </c>
      <c r="J17" s="17">
        <f>I17+J10-J11</f>
        <v/>
      </c>
      <c r="K17" s="17">
        <f>J17+K10-K11</f>
        <v/>
      </c>
      <c r="L17" s="17">
        <f>K17+L10-L11</f>
        <v/>
      </c>
      <c r="M17" s="33">
        <f>L17+M10-M11</f>
        <v/>
      </c>
      <c r="N17" s="17">
        <f>M17+N10-N11</f>
        <v/>
      </c>
      <c r="O17" s="17">
        <f>N17+O10-O11</f>
        <v/>
      </c>
      <c r="P17" s="17">
        <f>O17+P10-P11</f>
        <v/>
      </c>
      <c r="Q17" s="17">
        <f>P17+Q10-Q11</f>
        <v/>
      </c>
      <c r="R17" s="17">
        <f>Q17+R10-R11</f>
        <v/>
      </c>
      <c r="S17" s="17">
        <f>R17+S10-S11</f>
        <v/>
      </c>
      <c r="T17" s="17">
        <f>S17+T10-T11</f>
        <v/>
      </c>
      <c r="U17" s="17">
        <f>T17+U10-U11</f>
        <v/>
      </c>
      <c r="V17" s="17">
        <f>U17+V10-V11</f>
        <v/>
      </c>
      <c r="W17" s="17">
        <f>V17+W10-W11</f>
        <v/>
      </c>
      <c r="X17" s="17">
        <f>W17+X10-X11</f>
        <v/>
      </c>
      <c r="Y17" s="17">
        <f>X17+Y10-Y11</f>
        <v/>
      </c>
    </row>
    <row r="18">
      <c r="A18" s="3" t="inlineStr">
        <is>
          <t>Fund cash on hand (end of month)</t>
        </is>
      </c>
      <c r="B18" s="17">
        <f>Inputs!$B$9-B10+B15+B16+B14</f>
        <v/>
      </c>
      <c r="C18" s="17">
        <f>B18-C10+C15+C16+C14</f>
        <v/>
      </c>
      <c r="D18" s="17">
        <f>C18-D10+D15+D16+D14</f>
        <v/>
      </c>
      <c r="E18" s="17">
        <f>D18-E10+E15+E16+E14</f>
        <v/>
      </c>
      <c r="F18" s="17">
        <f>E18-F10+F15+F16+F14</f>
        <v/>
      </c>
      <c r="G18" s="17">
        <f>F18-G10+G15+G16+G14</f>
        <v/>
      </c>
      <c r="H18" s="17">
        <f>G18-H10+H15+H16+H14</f>
        <v/>
      </c>
      <c r="I18" s="17">
        <f>H18-I10+I15+I16+I14</f>
        <v/>
      </c>
      <c r="J18" s="17">
        <f>I18-J10+J15+J16+J14</f>
        <v/>
      </c>
      <c r="K18" s="17">
        <f>J18-K10+K15+K16+K14</f>
        <v/>
      </c>
      <c r="L18" s="17">
        <f>K18-L10+L15+L16+L14</f>
        <v/>
      </c>
      <c r="M18" s="33">
        <f>L18-M10+M15+M16+M14</f>
        <v/>
      </c>
      <c r="N18" s="17">
        <f>M18-N10+N15+N16+N14</f>
        <v/>
      </c>
      <c r="O18" s="17">
        <f>N18-O10+O15+O16+O14</f>
        <v/>
      </c>
      <c r="P18" s="17">
        <f>O18-P10+P15+P16+P14</f>
        <v/>
      </c>
      <c r="Q18" s="17">
        <f>P18-Q10+Q15+Q16+Q14</f>
        <v/>
      </c>
      <c r="R18" s="17">
        <f>Q18-R10+R15+R16+R14</f>
        <v/>
      </c>
      <c r="S18" s="17">
        <f>R18-S10+S15+S16+S14</f>
        <v/>
      </c>
      <c r="T18" s="17">
        <f>S18-T10+T15+T16+T14</f>
        <v/>
      </c>
      <c r="U18" s="17">
        <f>T18-U10+U15+U16+U14</f>
        <v/>
      </c>
      <c r="V18" s="17">
        <f>U18-V10+V15+V16+V14</f>
        <v/>
      </c>
      <c r="W18" s="17">
        <f>V18-W10+W15+W16+W14</f>
        <v/>
      </c>
      <c r="X18" s="17">
        <f>W18-X10+X15+X16+X14</f>
        <v/>
      </c>
      <c r="Y18" s="17">
        <f>X18-Y10+Y15+Y16+Y14</f>
        <v/>
      </c>
    </row>
    <row r="19">
      <c r="A19" t="inlineStr">
        <is>
          <t>Cash + loans outstanding</t>
        </is>
      </c>
      <c r="B19" s="17">
        <f>B18+B17</f>
        <v/>
      </c>
      <c r="C19" s="17">
        <f>C18+C17</f>
        <v/>
      </c>
      <c r="D19" s="17">
        <f>D18+D17</f>
        <v/>
      </c>
      <c r="E19" s="17">
        <f>E18+E17</f>
        <v/>
      </c>
      <c r="F19" s="17">
        <f>F18+F17</f>
        <v/>
      </c>
      <c r="G19" s="17">
        <f>G18+G17</f>
        <v/>
      </c>
      <c r="H19" s="17">
        <f>H18+H17</f>
        <v/>
      </c>
      <c r="I19" s="17">
        <f>I18+I17</f>
        <v/>
      </c>
      <c r="J19" s="17">
        <f>J18+J17</f>
        <v/>
      </c>
      <c r="K19" s="17">
        <f>K18+K17</f>
        <v/>
      </c>
      <c r="L19" s="17">
        <f>L18+L17</f>
        <v/>
      </c>
      <c r="M19" s="33">
        <f>M18+M17</f>
        <v/>
      </c>
      <c r="N19" s="17">
        <f>N18+N17</f>
        <v/>
      </c>
      <c r="O19" s="17">
        <f>O18+O17</f>
        <v/>
      </c>
      <c r="P19" s="17">
        <f>P18+P17</f>
        <v/>
      </c>
      <c r="Q19" s="17">
        <f>Q18+Q17</f>
        <v/>
      </c>
      <c r="R19" s="17">
        <f>R18+R17</f>
        <v/>
      </c>
      <c r="S19" s="17">
        <f>S18+S17</f>
        <v/>
      </c>
      <c r="T19" s="17">
        <f>T18+T17</f>
        <v/>
      </c>
      <c r="U19" s="17">
        <f>U18+U17</f>
        <v/>
      </c>
      <c r="V19" s="17">
        <f>V18+V17</f>
        <v/>
      </c>
      <c r="W19" s="17">
        <f>W18+W17</f>
        <v/>
      </c>
      <c r="X19" s="17">
        <f>X18+X17</f>
        <v/>
      </c>
      <c r="Y19" s="17">
        <f>Y18+Y17</f>
        <v/>
      </c>
    </row>
    <row r="20">
      <c r="A20" s="26" t="inlineStr">
        <is>
          <t>(helper) month if cash is back to corpus</t>
        </is>
      </c>
      <c r="B20">
        <f>IF(B18&gt;=Inputs!$B$9-0.5,B5,999)</f>
        <v/>
      </c>
      <c r="C20">
        <f>IF(C18&gt;=Inputs!$B$9-0.5,C5,999)</f>
        <v/>
      </c>
      <c r="D20">
        <f>IF(D18&gt;=Inputs!$B$9-0.5,D5,999)</f>
        <v/>
      </c>
      <c r="E20">
        <f>IF(E18&gt;=Inputs!$B$9-0.5,E5,999)</f>
        <v/>
      </c>
      <c r="F20">
        <f>IF(F18&gt;=Inputs!$B$9-0.5,F5,999)</f>
        <v/>
      </c>
      <c r="G20">
        <f>IF(G18&gt;=Inputs!$B$9-0.5,G5,999)</f>
        <v/>
      </c>
      <c r="H20">
        <f>IF(H18&gt;=Inputs!$B$9-0.5,H5,999)</f>
        <v/>
      </c>
      <c r="I20">
        <f>IF(I18&gt;=Inputs!$B$9-0.5,I5,999)</f>
        <v/>
      </c>
      <c r="J20">
        <f>IF(J18&gt;=Inputs!$B$9-0.5,J5,999)</f>
        <v/>
      </c>
      <c r="K20">
        <f>IF(K18&gt;=Inputs!$B$9-0.5,K5,999)</f>
        <v/>
      </c>
      <c r="L20">
        <f>IF(L18&gt;=Inputs!$B$9-0.5,L5,999)</f>
        <v/>
      </c>
      <c r="M20" s="30">
        <f>IF(M18&gt;=Inputs!$B$9-0.5,M5,999)</f>
        <v/>
      </c>
      <c r="N20">
        <f>IF(N18&gt;=Inputs!$B$9-0.5,N5,999)</f>
        <v/>
      </c>
      <c r="O20">
        <f>IF(O18&gt;=Inputs!$B$9-0.5,O5,999)</f>
        <v/>
      </c>
      <c r="P20">
        <f>IF(P18&gt;=Inputs!$B$9-0.5,P5,999)</f>
        <v/>
      </c>
      <c r="Q20">
        <f>IF(Q18&gt;=Inputs!$B$9-0.5,Q5,999)</f>
        <v/>
      </c>
      <c r="R20">
        <f>IF(R18&gt;=Inputs!$B$9-0.5,R5,999)</f>
        <v/>
      </c>
      <c r="S20">
        <f>IF(S18&gt;=Inputs!$B$9-0.5,S5,999)</f>
        <v/>
      </c>
      <c r="T20">
        <f>IF(T18&gt;=Inputs!$B$9-0.5,T5,999)</f>
        <v/>
      </c>
      <c r="U20">
        <f>IF(U18&gt;=Inputs!$B$9-0.5,U5,999)</f>
        <v/>
      </c>
      <c r="V20">
        <f>IF(V18&gt;=Inputs!$B$9-0.5,V5,999)</f>
        <v/>
      </c>
      <c r="W20">
        <f>IF(W18&gt;=Inputs!$B$9-0.5,W5,999)</f>
        <v/>
      </c>
      <c r="X20">
        <f>IF(X18&gt;=Inputs!$B$9-0.5,X5,999)</f>
        <v/>
      </c>
      <c r="Y20">
        <f>IF(Y18&gt;=Inputs!$B$9-0.5,Y5,999)</f>
        <v/>
      </c>
    </row>
    <row r="22">
      <c r="A22" s="5" t="inlineStr">
        <is>
          <t>YEAR-END SNAPSHOT (end of month 12)</t>
        </is>
      </c>
      <c r="B22" s="6" t="n"/>
      <c r="C22" s="6" t="n"/>
      <c r="D22" s="6" t="n"/>
    </row>
    <row r="23">
      <c r="A23" t="inlineStr">
        <is>
          <t>Fund cash on hand at month 12</t>
        </is>
      </c>
      <c r="B23" s="21">
        <f>M18</f>
        <v/>
      </c>
    </row>
    <row r="24">
      <c r="A24" t="inlineStr">
        <is>
          <t>Money still out on loan at month 12 (repaid in year 2)</t>
        </is>
      </c>
      <c r="B24" s="21">
        <f>M17</f>
        <v/>
      </c>
    </row>
    <row r="25">
      <c r="A25" t="inlineStr">
        <is>
          <t>Cash + loans still out</t>
        </is>
      </c>
      <c r="B25" s="21">
        <f>M19</f>
        <v/>
      </c>
    </row>
    <row r="26">
      <c r="A26" t="inlineStr">
        <is>
          <t>Share of corpus back as cash at month 12</t>
        </is>
      </c>
      <c r="B26" s="22">
        <f>M18/Inputs!$B$9</f>
        <v/>
      </c>
    </row>
    <row r="27">
      <c r="A27" t="inlineStr">
        <is>
          <t>Total loans made in year 1 (incl. re-lending)</t>
        </is>
      </c>
      <c r="B27" s="21">
        <f>SUM(B10:M10)</f>
        <v/>
      </c>
    </row>
    <row r="28">
      <c r="A28" t="inlineStr">
        <is>
          <t>Times the corpus was lent in year 1 (turnover)</t>
        </is>
      </c>
      <c r="B28" s="23">
        <f>SUM(B10:M10)/Inputs!$B$9</f>
        <v/>
      </c>
    </row>
    <row r="29">
      <c r="A29" t="inlineStr">
        <is>
          <t>First month the corpus is fully back as cash</t>
        </is>
      </c>
      <c r="B29" s="34">
        <f>IF(MIN(B20:Y20)=999,"Not within 24 months (defaults not covered)",MIN(B20:Y20))</f>
        <v/>
      </c>
    </row>
    <row r="30">
      <c r="A30" t="inlineStr">
        <is>
          <t>Fund cash at month 24 (all loans closed)</t>
        </is>
      </c>
      <c r="B30" s="21">
        <f>Y18</f>
        <v/>
      </c>
    </row>
    <row r="31">
      <c r="A31" t="inlineStr">
        <is>
          <t>Check: new-loan % adds to 100%</t>
        </is>
      </c>
      <c r="B31" s="35">
        <f>IF(ABS(Z7-1)&lt;0.0001,"OK","ERROR: adjust row 7")</f>
        <v/>
      </c>
    </row>
    <row r="32">
      <c r="A32" t="inlineStr">
        <is>
          <t>Check: no new loans after the last lending month</t>
        </is>
      </c>
      <c r="B32" s="35">
        <f>IF(SUMPRODUCT((B5:M5&gt;Inputs!$B$18)*B7:M7)&gt;0,"WARNING: some % is after the last lending month and is ignored","OK")</f>
        <v/>
      </c>
    </row>
    <row r="34">
      <c r="A34" t="inlineStr">
        <is>
          <t>Note: fund cash counts TAMISEMI's share of repaid principal, the lender's risk-share compensation for defaults, and the default-budget share of interest. Interest shares also go to TAMISEMI, the region, the LGA and the lender; any repaid principal kept by the lender does not come back to the fund. The thick line marks year end.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Pilot districts</t>
        </is>
      </c>
    </row>
    <row r="2">
      <c r="A2" s="2" t="inlineStr">
        <is>
          <t>8 districts for the weekly issuance timeline. All data below is placeholder.</t>
        </is>
      </c>
    </row>
    <row r="4">
      <c r="A4" s="4" t="inlineStr">
        <is>
          <t>Item</t>
        </is>
      </c>
      <c r="B4" s="4" t="inlineStr">
        <is>
          <t>Value</t>
        </is>
      </c>
      <c r="C4" s="4" t="inlineStr">
        <is>
          <t>Unit</t>
        </is>
      </c>
      <c r="D4" s="4" t="inlineStr">
        <is>
          <t>Note</t>
        </is>
      </c>
    </row>
    <row r="5">
      <c r="A5" s="5" t="inlineStr">
        <is>
          <t>PILOT CORPUS AND SHARED ASSUMPTIONS</t>
        </is>
      </c>
      <c r="B5" s="6" t="n"/>
      <c r="C5" s="6" t="n"/>
      <c r="D5" s="6" t="n"/>
    </row>
    <row r="6">
      <c r="A6" t="inlineStr">
        <is>
          <t>Pilot corpus (USD)</t>
        </is>
      </c>
      <c r="B6" s="7" t="n">
        <v>6000000</v>
      </c>
      <c r="C6" t="inlineStr">
        <is>
          <t>USD</t>
        </is>
      </c>
      <c r="D6" t="inlineStr">
        <is>
          <t>A separate, smaller pool from the annual $20m model - not yet reconciled with it (question 13)</t>
        </is>
      </c>
    </row>
    <row r="7">
      <c r="A7" t="inlineStr">
        <is>
          <t>Maximum Loan:Savings ratio (from Inputs)</t>
        </is>
      </c>
      <c r="B7" s="36">
        <f>Inputs!$B$11</f>
        <v/>
      </c>
      <c r="C7" t="inlineStr">
        <is>
          <t>x</t>
        </is>
      </c>
      <c r="D7" t="inlineStr">
        <is>
          <t>Reused from the Inputs sheet</t>
        </is>
      </c>
    </row>
    <row r="8">
      <c r="A8" t="inlineStr">
        <is>
          <t>Interest rate (from Inputs)</t>
        </is>
      </c>
      <c r="B8" s="14">
        <f>Inputs!$B$12</f>
        <v/>
      </c>
      <c r="C8" t="inlineStr">
        <is>
          <t>%</t>
        </is>
      </c>
      <c r="D8" t="inlineStr">
        <is>
          <t>Reused from the Inputs sheet</t>
        </is>
      </c>
    </row>
    <row r="9">
      <c r="A9" t="inlineStr">
        <is>
          <t>Portfolio default rate (from Inputs)</t>
        </is>
      </c>
      <c r="B9" s="14">
        <f>Inputs!$B$16</f>
        <v/>
      </c>
      <c r="C9" t="inlineStr">
        <is>
          <t>%</t>
        </is>
      </c>
      <c r="D9" t="inlineStr">
        <is>
          <t>Reused from the Inputs sheet</t>
        </is>
      </c>
    </row>
    <row r="10">
      <c r="A10" t="inlineStr">
        <is>
          <t>Term used in this weekly model</t>
        </is>
      </c>
      <c r="B10" s="11" t="n">
        <v>26</v>
      </c>
      <c r="C10" t="inlineStr">
        <is>
          <t>weeks</t>
        </is>
      </c>
      <c r="D10" t="inlineStr">
        <is>
          <t>Separate from the annual model's monthly term</t>
        </is>
      </c>
    </row>
    <row r="11">
      <c r="A11" t="inlineStr">
        <is>
          <t>Appraisal -&gt; disbursal conversion rate</t>
        </is>
      </c>
      <c r="B11" s="10" t="n">
        <v>0.8</v>
      </c>
      <c r="C11" t="inlineStr">
        <is>
          <t>%</t>
        </is>
      </c>
      <c r="D11" t="inlineStr">
        <is>
          <t>Share of appraised CMGs that are approved AND accept the loan</t>
        </is>
      </c>
    </row>
    <row r="12">
      <c r="A12" t="inlineStr">
        <is>
          <t>Redeployment mode (District timeline sheet)</t>
        </is>
      </c>
      <c r="B12" s="11" t="n">
        <v>1</v>
      </c>
      <c r="C12" t="inlineStr">
        <is>
          <t>0/1/2</t>
        </is>
      </c>
      <c r="D12" t="inlineStr">
        <is>
          <t>0 = hold repayments as cash, 1 = same FI redeploys them, 2 = handed to a 2nd FI in the district (same maths, different label)</t>
        </is>
      </c>
    </row>
    <row r="14" ht="40" customHeight="1">
      <c r="A14" s="4" t="inlineStr">
        <is>
          <t>District</t>
        </is>
      </c>
      <c r="B14" s="4" t="inlineStr">
        <is>
          <t>Number of CMGs</t>
        </is>
      </c>
      <c r="C14" s="4" t="inlineStr">
        <is>
          <t>Avg savings/CMG (USD)</t>
        </is>
      </c>
      <c r="D14" s="4" t="inlineStr">
        <is>
          <t>Avg loan ask/CMG (USD)</t>
        </is>
      </c>
      <c r="E14" s="4" t="inlineStr">
        <is>
          <t>Loan cap/CMG</t>
        </is>
      </c>
      <c r="F14" s="4" t="inlineStr">
        <is>
          <t>Loan/CMG</t>
        </is>
      </c>
      <c r="G14" s="4" t="inlineStr">
        <is>
          <t>Demand (USD)</t>
        </is>
      </c>
      <c r="H14" s="4" t="inlineStr">
        <is>
          <t>Full allocation (USD)</t>
        </is>
      </c>
      <c r="I14" s="4" t="inlineStr">
        <is>
          <t># FIs assigned</t>
        </is>
      </c>
      <c r="J14" s="4" t="inlineStr">
        <is>
          <t>Weekly capacity/FI (CMGs)</t>
        </is>
      </c>
      <c r="K14" s="4" t="inlineStr">
        <is>
          <t>Combined weekly capacity</t>
        </is>
      </c>
      <c r="L14" s="4" t="inlineStr">
        <is>
          <t>Application -&gt; disbursal lag (wks)</t>
        </is>
      </c>
      <c r="M14" s="4" t="inlineStr">
        <is>
          <t>Rollout start week</t>
        </is>
      </c>
    </row>
    <row r="15">
      <c r="A15" s="15" t="inlineStr">
        <is>
          <t>District 1</t>
        </is>
      </c>
      <c r="B15" s="16" t="n">
        <v>400</v>
      </c>
      <c r="C15" s="7" t="n">
        <v>4000</v>
      </c>
      <c r="D15" s="7" t="n">
        <v>2500</v>
      </c>
      <c r="E15" s="17">
        <f>C15*$B$7</f>
        <v/>
      </c>
      <c r="F15" s="17">
        <f>MIN(D15,E15)</f>
        <v/>
      </c>
      <c r="G15" s="17">
        <f>B15*F15</f>
        <v/>
      </c>
      <c r="H15" s="17">
        <f>G15*$B$26</f>
        <v/>
      </c>
      <c r="I15" s="16" t="n">
        <v>2</v>
      </c>
      <c r="J15" s="16" t="n">
        <v>6</v>
      </c>
      <c r="K15" s="37">
        <f>I15*J15</f>
        <v/>
      </c>
      <c r="L15" s="11" t="n">
        <v>2</v>
      </c>
      <c r="M15" s="11" t="n">
        <v>1</v>
      </c>
    </row>
    <row r="16">
      <c r="A16" s="15" t="inlineStr">
        <is>
          <t>District 2</t>
        </is>
      </c>
      <c r="B16" s="16" t="n">
        <v>350</v>
      </c>
      <c r="C16" s="7" t="n">
        <v>3500</v>
      </c>
      <c r="D16" s="7" t="n">
        <v>2200</v>
      </c>
      <c r="E16" s="17">
        <f>C16*$B$7</f>
        <v/>
      </c>
      <c r="F16" s="17">
        <f>MIN(D16,E16)</f>
        <v/>
      </c>
      <c r="G16" s="17">
        <f>B16*F16</f>
        <v/>
      </c>
      <c r="H16" s="17">
        <f>G16*$B$26</f>
        <v/>
      </c>
      <c r="I16" s="16" t="n">
        <v>2</v>
      </c>
      <c r="J16" s="16" t="n">
        <v>5</v>
      </c>
      <c r="K16" s="37">
        <f>I16*J16</f>
        <v/>
      </c>
      <c r="L16" s="11" t="n">
        <v>2</v>
      </c>
      <c r="M16" s="11" t="n">
        <v>1</v>
      </c>
    </row>
    <row r="17">
      <c r="A17" s="15" t="inlineStr">
        <is>
          <t>District 3</t>
        </is>
      </c>
      <c r="B17" s="16" t="n">
        <v>500</v>
      </c>
      <c r="C17" s="7" t="n">
        <v>4500</v>
      </c>
      <c r="D17" s="7" t="n">
        <v>2800</v>
      </c>
      <c r="E17" s="17">
        <f>C17*$B$7</f>
        <v/>
      </c>
      <c r="F17" s="17">
        <f>MIN(D17,E17)</f>
        <v/>
      </c>
      <c r="G17" s="17">
        <f>B17*F17</f>
        <v/>
      </c>
      <c r="H17" s="17">
        <f>G17*$B$26</f>
        <v/>
      </c>
      <c r="I17" s="16" t="n">
        <v>3</v>
      </c>
      <c r="J17" s="16" t="n">
        <v>5</v>
      </c>
      <c r="K17" s="37">
        <f>I17*J17</f>
        <v/>
      </c>
      <c r="L17" s="11" t="n">
        <v>3</v>
      </c>
      <c r="M17" s="11" t="n">
        <v>3</v>
      </c>
    </row>
    <row r="18">
      <c r="A18" s="15" t="inlineStr">
        <is>
          <t>District 4</t>
        </is>
      </c>
      <c r="B18" s="16" t="n">
        <v>300</v>
      </c>
      <c r="C18" s="7" t="n">
        <v>3000</v>
      </c>
      <c r="D18" s="7" t="n">
        <v>2000</v>
      </c>
      <c r="E18" s="17">
        <f>C18*$B$7</f>
        <v/>
      </c>
      <c r="F18" s="17">
        <f>MIN(D18,E18)</f>
        <v/>
      </c>
      <c r="G18" s="17">
        <f>B18*F18</f>
        <v/>
      </c>
      <c r="H18" s="17">
        <f>G18*$B$26</f>
        <v/>
      </c>
      <c r="I18" s="16" t="n">
        <v>1</v>
      </c>
      <c r="J18" s="16" t="n">
        <v>6</v>
      </c>
      <c r="K18" s="37">
        <f>I18*J18</f>
        <v/>
      </c>
      <c r="L18" s="11" t="n">
        <v>2</v>
      </c>
      <c r="M18" s="11" t="n">
        <v>5</v>
      </c>
    </row>
    <row r="19">
      <c r="A19" s="15" t="inlineStr">
        <is>
          <t>District 5</t>
        </is>
      </c>
      <c r="B19" s="16" t="n">
        <v>450</v>
      </c>
      <c r="C19" s="7" t="n">
        <v>5000</v>
      </c>
      <c r="D19" s="7" t="n">
        <v>3000</v>
      </c>
      <c r="E19" s="17">
        <f>C19*$B$7</f>
        <v/>
      </c>
      <c r="F19" s="17">
        <f>MIN(D19,E19)</f>
        <v/>
      </c>
      <c r="G19" s="17">
        <f>B19*F19</f>
        <v/>
      </c>
      <c r="H19" s="17">
        <f>G19*$B$26</f>
        <v/>
      </c>
      <c r="I19" s="16" t="n">
        <v>2</v>
      </c>
      <c r="J19" s="16" t="n">
        <v>5</v>
      </c>
      <c r="K19" s="37">
        <f>I19*J19</f>
        <v/>
      </c>
      <c r="L19" s="11" t="n">
        <v>3</v>
      </c>
      <c r="M19" s="11" t="n">
        <v>5</v>
      </c>
    </row>
    <row r="20">
      <c r="A20" s="15" t="inlineStr">
        <is>
          <t>District 6</t>
        </is>
      </c>
      <c r="B20" s="16" t="n">
        <v>250</v>
      </c>
      <c r="C20" s="7" t="n">
        <v>3500</v>
      </c>
      <c r="D20" s="7" t="n">
        <v>2200</v>
      </c>
      <c r="E20" s="17">
        <f>C20*$B$7</f>
        <v/>
      </c>
      <c r="F20" s="17">
        <f>MIN(D20,E20)</f>
        <v/>
      </c>
      <c r="G20" s="17">
        <f>B20*F20</f>
        <v/>
      </c>
      <c r="H20" s="17">
        <f>G20*$B$26</f>
        <v/>
      </c>
      <c r="I20" s="16" t="n">
        <v>1</v>
      </c>
      <c r="J20" s="16" t="n">
        <v>5</v>
      </c>
      <c r="K20" s="37">
        <f>I20*J20</f>
        <v/>
      </c>
      <c r="L20" s="11" t="n">
        <v>2</v>
      </c>
      <c r="M20" s="11" t="n">
        <v>9</v>
      </c>
    </row>
    <row r="21">
      <c r="A21" s="15" t="inlineStr">
        <is>
          <t>District 7</t>
        </is>
      </c>
      <c r="B21" s="16" t="n">
        <v>380</v>
      </c>
      <c r="C21" s="7" t="n">
        <v>4000</v>
      </c>
      <c r="D21" s="7" t="n">
        <v>2500</v>
      </c>
      <c r="E21" s="17">
        <f>C21*$B$7</f>
        <v/>
      </c>
      <c r="F21" s="17">
        <f>MIN(D21,E21)</f>
        <v/>
      </c>
      <c r="G21" s="17">
        <f>B21*F21</f>
        <v/>
      </c>
      <c r="H21" s="17">
        <f>G21*$B$26</f>
        <v/>
      </c>
      <c r="I21" s="16" t="n">
        <v>2</v>
      </c>
      <c r="J21" s="16" t="n">
        <v>4</v>
      </c>
      <c r="K21" s="37">
        <f>I21*J21</f>
        <v/>
      </c>
      <c r="L21" s="11" t="n">
        <v>3</v>
      </c>
      <c r="M21" s="11" t="n">
        <v>13</v>
      </c>
    </row>
    <row r="22">
      <c r="A22" s="15" t="inlineStr">
        <is>
          <t>District 8</t>
        </is>
      </c>
      <c r="B22" s="16" t="n">
        <v>320</v>
      </c>
      <c r="C22" s="7" t="n">
        <v>3800</v>
      </c>
      <c r="D22" s="7" t="n">
        <v>2300</v>
      </c>
      <c r="E22" s="17">
        <f>C22*$B$7</f>
        <v/>
      </c>
      <c r="F22" s="17">
        <f>MIN(D22,E22)</f>
        <v/>
      </c>
      <c r="G22" s="17">
        <f>B22*F22</f>
        <v/>
      </c>
      <c r="H22" s="17">
        <f>G22*$B$26</f>
        <v/>
      </c>
      <c r="I22" s="16" t="n">
        <v>1</v>
      </c>
      <c r="J22" s="16" t="n">
        <v>6</v>
      </c>
      <c r="K22" s="37">
        <f>I22*J22</f>
        <v/>
      </c>
      <c r="L22" s="11" t="n">
        <v>2</v>
      </c>
      <c r="M22" s="11" t="n">
        <v>17</v>
      </c>
    </row>
    <row r="23">
      <c r="A23" s="3" t="inlineStr">
        <is>
          <t>TOTAL</t>
        </is>
      </c>
      <c r="B23" s="20">
        <f>SUM(B15:B22)</f>
        <v/>
      </c>
      <c r="G23" s="21">
        <f>SUM(G15:G22)</f>
        <v/>
      </c>
      <c r="H23" s="21">
        <f>SUM(H15:H22)</f>
        <v/>
      </c>
      <c r="K23" s="20">
        <f>SUM(K15:K22)</f>
        <v/>
      </c>
    </row>
    <row r="25">
      <c r="A25" t="inlineStr">
        <is>
          <t>Pilot corpus</t>
        </is>
      </c>
      <c r="B25" s="21">
        <f>B6</f>
        <v/>
      </c>
    </row>
    <row r="26">
      <c r="A26" t="inlineStr">
        <is>
          <t>Scale factor (1 = full demand met)</t>
        </is>
      </c>
      <c r="B26" s="23">
        <f>IF(G23=0,0,MIN(1,B25/G23))</f>
        <v/>
      </c>
    </row>
    <row r="27">
      <c r="A27" t="inlineStr">
        <is>
          <t>Corpus not used</t>
        </is>
      </c>
      <c r="B27" s="21">
        <f>B25-H23</f>
        <v/>
      </c>
    </row>
    <row r="28">
      <c r="A28" t="inlineStr">
        <is>
          <t>Demand not met</t>
        </is>
      </c>
      <c r="B28" s="21">
        <f>G23-H23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2"/>
  <sheetViews>
    <sheetView workbookViewId="0">
      <pane xSplit="1" ySplit="19" topLeftCell="B20"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District timeline: weekly loan issuance cascade</t>
        </is>
      </c>
    </row>
    <row r="2">
      <c r="A2" s="2" t="inlineStr">
        <is>
          <t>Pick a pilot district below. Weeks run down the rows so the cascade charts naturally.</t>
        </is>
      </c>
    </row>
    <row r="4">
      <c r="A4" s="3" t="inlineStr">
        <is>
          <t>Pick a district:</t>
        </is>
      </c>
      <c r="B4" s="38" t="inlineStr">
        <is>
          <t>District 1</t>
        </is>
      </c>
    </row>
    <row r="6">
      <c r="A6" s="4" t="inlineStr">
        <is>
          <t>Item</t>
        </is>
      </c>
      <c r="B6" s="4" t="inlineStr">
        <is>
          <t>Value</t>
        </is>
      </c>
      <c r="C6" s="4" t="inlineStr">
        <is>
          <t>Unit</t>
        </is>
      </c>
      <c r="D6" s="4" t="inlineStr">
        <is>
          <t>Note</t>
        </is>
      </c>
    </row>
    <row r="7">
      <c r="A7" s="5" t="inlineStr">
        <is>
          <t>SELECTED DISTRICT'S PARAMETERS (looked up from 'Pilot districts')</t>
        </is>
      </c>
      <c r="B7" s="6" t="n"/>
      <c r="C7" s="6" t="n"/>
      <c r="D7" s="6" t="n"/>
    </row>
    <row r="8">
      <c r="A8" t="inlineStr">
        <is>
          <t>Number of CMGs</t>
        </is>
      </c>
      <c r="B8" s="39">
        <f>INDEX('Pilot districts'!$B$15:$B$22,MATCH($B$4,'Pilot districts'!$A$15:$A$22,0))</f>
        <v/>
      </c>
      <c r="C8" t="inlineStr">
        <is>
          <t>CMGs</t>
        </is>
      </c>
      <c r="D8" t="inlineStr"/>
    </row>
    <row r="9">
      <c r="A9" t="inlineStr">
        <is>
          <t>Loan per CMG (USD)</t>
        </is>
      </c>
      <c r="B9" s="24">
        <f>INDEX('Pilot districts'!$F$15:$F$22,MATCH($B$4,'Pilot districts'!$A$15:$A$22,0))</f>
        <v/>
      </c>
      <c r="C9" t="inlineStr">
        <is>
          <t>USD</t>
        </is>
      </c>
      <c r="D9" t="inlineStr"/>
    </row>
    <row r="10">
      <c r="A10" t="inlineStr">
        <is>
          <t>Full allocation (USD)</t>
        </is>
      </c>
      <c r="B10" s="24">
        <f>INDEX('Pilot districts'!$H$15:$H$22,MATCH($B$4,'Pilot districts'!$A$15:$A$22,0))</f>
        <v/>
      </c>
      <c r="C10" t="inlineStr">
        <is>
          <t>USD</t>
        </is>
      </c>
      <c r="D10" t="inlineStr"/>
    </row>
    <row r="11">
      <c r="A11" t="inlineStr">
        <is>
          <t>Combined weekly appraisal capacity</t>
        </is>
      </c>
      <c r="B11" s="39">
        <f>INDEX('Pilot districts'!$K$15:$K$22,MATCH($B$4,'Pilot districts'!$A$15:$A$22,0))</f>
        <v/>
      </c>
      <c r="C11" t="inlineStr">
        <is>
          <t>CMGs/wk</t>
        </is>
      </c>
      <c r="D11" t="inlineStr"/>
    </row>
    <row r="12">
      <c r="A12" t="inlineStr">
        <is>
          <t>Application -&gt; disbursal lag</t>
        </is>
      </c>
      <c r="B12" s="28">
        <f>INDEX('Pilot districts'!$L$15:$L$22,MATCH($B$4,'Pilot districts'!$A$15:$A$22,0))</f>
        <v/>
      </c>
      <c r="C12" t="inlineStr">
        <is>
          <t>weeks</t>
        </is>
      </c>
      <c r="D12" t="inlineStr"/>
    </row>
    <row r="13">
      <c r="A13" t="inlineStr">
        <is>
          <t>Term used in this weekly model</t>
        </is>
      </c>
      <c r="B13" s="28">
        <f>'Pilot districts'!B10</f>
        <v/>
      </c>
      <c r="C13" t="inlineStr">
        <is>
          <t>weeks</t>
        </is>
      </c>
      <c r="D13" t="inlineStr">
        <is>
          <t>From 'Pilot districts'</t>
        </is>
      </c>
    </row>
    <row r="14">
      <c r="A14" t="inlineStr">
        <is>
          <t>Interest rate</t>
        </is>
      </c>
      <c r="B14" s="25">
        <f>'Pilot districts'!B8</f>
        <v/>
      </c>
      <c r="C14" t="inlineStr">
        <is>
          <t>%</t>
        </is>
      </c>
      <c r="D14" t="inlineStr">
        <is>
          <t>From 'Pilot districts'</t>
        </is>
      </c>
    </row>
    <row r="15">
      <c r="A15" t="inlineStr">
        <is>
          <t>Portfolio default rate</t>
        </is>
      </c>
      <c r="B15" s="25">
        <f>'Pilot districts'!B9</f>
        <v/>
      </c>
      <c r="C15" t="inlineStr">
        <is>
          <t>%</t>
        </is>
      </c>
      <c r="D15" t="inlineStr">
        <is>
          <t>From 'Pilot districts'</t>
        </is>
      </c>
    </row>
    <row r="16">
      <c r="A16" t="inlineStr">
        <is>
          <t>Appraisal -&gt; disbursal conversion rate</t>
        </is>
      </c>
      <c r="B16" s="25">
        <f>'Pilot districts'!B11</f>
        <v/>
      </c>
      <c r="C16" t="inlineStr">
        <is>
          <t>%</t>
        </is>
      </c>
      <c r="D16" t="inlineStr">
        <is>
          <t>From 'Pilot districts'</t>
        </is>
      </c>
    </row>
    <row r="17">
      <c r="A17" t="inlineStr">
        <is>
          <t>Redeployment mode (0/1/2)</t>
        </is>
      </c>
      <c r="B17" s="28">
        <f>'Pilot districts'!B12</f>
        <v/>
      </c>
      <c r="C17" t="inlineStr"/>
      <c r="D17" t="inlineStr">
        <is>
          <t>0 = hold cash, 1 = same FI redeploys, 2 = 2nd FI in district (same maths)</t>
        </is>
      </c>
    </row>
    <row r="19" ht="40" customHeight="1">
      <c r="A19" s="4" t="inlineStr">
        <is>
          <t>Week</t>
        </is>
      </c>
      <c r="B19" s="4" t="inlineStr">
        <is>
          <t>New CMGs appraised</t>
        </is>
      </c>
      <c r="C19" s="4" t="inlineStr">
        <is>
          <t>New CMGs disbursed</t>
        </is>
      </c>
      <c r="D19" s="4" t="inlineStr">
        <is>
          <t>Capital disbursed this wk</t>
        </is>
      </c>
      <c r="E19" s="4" t="inlineStr">
        <is>
          <t>Cumulative capital disbursed</t>
        </is>
      </c>
      <c r="F19" s="4" t="inlineStr">
        <is>
          <t>Capital remaining in pool</t>
        </is>
      </c>
      <c r="G19" s="4" t="inlineStr">
        <is>
          <t>Principal due</t>
        </is>
      </c>
      <c r="H19" s="4" t="inlineStr">
        <is>
          <t>Principal repaid</t>
        </is>
      </c>
      <c r="I19" s="4" t="inlineStr">
        <is>
          <t>Interest collected</t>
        </is>
      </c>
      <c r="J19" s="4" t="inlineStr">
        <is>
          <t>Recycled capital</t>
        </is>
      </c>
      <c r="K19" s="4" t="inlineStr">
        <is>
          <t>Portfolio Outstanding</t>
        </is>
      </c>
      <c r="L19" s="4" t="inlineStr">
        <is>
          <t>Pool exhausted?</t>
        </is>
      </c>
    </row>
    <row r="20">
      <c r="A20" t="n">
        <v>1</v>
      </c>
      <c r="B20" s="37">
        <f>MAX(0,MIN($B$11,$B$8-0))</f>
        <v/>
      </c>
      <c r="C20" s="37">
        <f>MIN(IF(A20&lt;=$B$12,0,N(OFFSET(B20,-$B$12,0))*$B$16),IF($B$9=0,0,$B$10/$B$9))</f>
        <v/>
      </c>
      <c r="D20" s="17">
        <f>C20*$B$9</f>
        <v/>
      </c>
      <c r="E20" s="17">
        <f>D20</f>
        <v/>
      </c>
      <c r="F20" s="17">
        <f>$B$10-E20+SUM($J$20:J20)</f>
        <v/>
      </c>
      <c r="G20" s="17">
        <f>0</f>
        <v/>
      </c>
      <c r="H20" s="17">
        <f>G20*(1-$B$15)</f>
        <v/>
      </c>
      <c r="I20" s="17">
        <f>H20*$B$14/52*$B$13</f>
        <v/>
      </c>
      <c r="J20" s="17">
        <f>IF($B$17&gt;0,H20,0)</f>
        <v/>
      </c>
      <c r="K20" s="17">
        <f>E20-SUM($H$20:H20)</f>
        <v/>
      </c>
      <c r="L20">
        <f>IF(F20&lt;$B$9,"Yes","No")</f>
        <v/>
      </c>
    </row>
    <row r="21">
      <c r="A21" t="n">
        <v>2</v>
      </c>
      <c r="B21" s="37">
        <f>MAX(0,MIN($B$11,$B$8-SUM($B$20:B20)))</f>
        <v/>
      </c>
      <c r="C21" s="37">
        <f>MIN(IF(A21&lt;=$B$12,0,N(OFFSET(B21,-$B$12,0))*$B$16),IF($B$9=0,0,F20/$B$9))</f>
        <v/>
      </c>
      <c r="D21" s="17">
        <f>C21*$B$9</f>
        <v/>
      </c>
      <c r="E21" s="17">
        <f>E20+D21</f>
        <v/>
      </c>
      <c r="F21" s="17">
        <f>$B$10-E21+SUM($J$20:J21)</f>
        <v/>
      </c>
      <c r="G21" s="17">
        <f>SUMIFS($D$20:D20,$A$20:A20,"&gt;="&amp;(A21-$B$13))/$B$13</f>
        <v/>
      </c>
      <c r="H21" s="17">
        <f>G21*(1-$B$15)</f>
        <v/>
      </c>
      <c r="I21" s="17">
        <f>H21*$B$14/52*$B$13</f>
        <v/>
      </c>
      <c r="J21" s="17">
        <f>IF($B$17&gt;0,H21,0)</f>
        <v/>
      </c>
      <c r="K21" s="17">
        <f>E21-SUM($H$20:H21)</f>
        <v/>
      </c>
      <c r="L21">
        <f>IF(F21&lt;$B$9,"Yes","No")</f>
        <v/>
      </c>
    </row>
    <row r="22">
      <c r="A22" t="n">
        <v>3</v>
      </c>
      <c r="B22" s="37">
        <f>MAX(0,MIN($B$11,$B$8-SUM($B$20:B21)))</f>
        <v/>
      </c>
      <c r="C22" s="37">
        <f>MIN(IF(A22&lt;=$B$12,0,N(OFFSET(B22,-$B$12,0))*$B$16),IF($B$9=0,0,F21/$B$9))</f>
        <v/>
      </c>
      <c r="D22" s="17">
        <f>C22*$B$9</f>
        <v/>
      </c>
      <c r="E22" s="17">
        <f>E21+D22</f>
        <v/>
      </c>
      <c r="F22" s="17">
        <f>$B$10-E22+SUM($J$20:J22)</f>
        <v/>
      </c>
      <c r="G22" s="17">
        <f>SUMIFS($D$20:D21,$A$20:A21,"&gt;="&amp;(A22-$B$13))/$B$13</f>
        <v/>
      </c>
      <c r="H22" s="17">
        <f>G22*(1-$B$15)</f>
        <v/>
      </c>
      <c r="I22" s="17">
        <f>H22*$B$14/52*$B$13</f>
        <v/>
      </c>
      <c r="J22" s="17">
        <f>IF($B$17&gt;0,H22,0)</f>
        <v/>
      </c>
      <c r="K22" s="17">
        <f>E22-SUM($H$20:H22)</f>
        <v/>
      </c>
      <c r="L22">
        <f>IF(F22&lt;$B$9,"Yes","No")</f>
        <v/>
      </c>
    </row>
    <row r="23">
      <c r="A23" t="n">
        <v>4</v>
      </c>
      <c r="B23" s="37">
        <f>MAX(0,MIN($B$11,$B$8-SUM($B$20:B22)))</f>
        <v/>
      </c>
      <c r="C23" s="37">
        <f>MIN(IF(A23&lt;=$B$12,0,N(OFFSET(B23,-$B$12,0))*$B$16),IF($B$9=0,0,F22/$B$9))</f>
        <v/>
      </c>
      <c r="D23" s="17">
        <f>C23*$B$9</f>
        <v/>
      </c>
      <c r="E23" s="17">
        <f>E22+D23</f>
        <v/>
      </c>
      <c r="F23" s="17">
        <f>$B$10-E23+SUM($J$20:J23)</f>
        <v/>
      </c>
      <c r="G23" s="17">
        <f>SUMIFS($D$20:D22,$A$20:A22,"&gt;="&amp;(A23-$B$13))/$B$13</f>
        <v/>
      </c>
      <c r="H23" s="17">
        <f>G23*(1-$B$15)</f>
        <v/>
      </c>
      <c r="I23" s="17">
        <f>H23*$B$14/52*$B$13</f>
        <v/>
      </c>
      <c r="J23" s="17">
        <f>IF($B$17&gt;0,H23,0)</f>
        <v/>
      </c>
      <c r="K23" s="17">
        <f>E23-SUM($H$20:H23)</f>
        <v/>
      </c>
      <c r="L23">
        <f>IF(F23&lt;$B$9,"Yes","No")</f>
        <v/>
      </c>
    </row>
    <row r="24">
      <c r="A24" t="n">
        <v>5</v>
      </c>
      <c r="B24" s="37">
        <f>MAX(0,MIN($B$11,$B$8-SUM($B$20:B23)))</f>
        <v/>
      </c>
      <c r="C24" s="37">
        <f>MIN(IF(A24&lt;=$B$12,0,N(OFFSET(B24,-$B$12,0))*$B$16),IF($B$9=0,0,F23/$B$9))</f>
        <v/>
      </c>
      <c r="D24" s="17">
        <f>C24*$B$9</f>
        <v/>
      </c>
      <c r="E24" s="17">
        <f>E23+D24</f>
        <v/>
      </c>
      <c r="F24" s="17">
        <f>$B$10-E24+SUM($J$20:J24)</f>
        <v/>
      </c>
      <c r="G24" s="17">
        <f>SUMIFS($D$20:D23,$A$20:A23,"&gt;="&amp;(A24-$B$13))/$B$13</f>
        <v/>
      </c>
      <c r="H24" s="17">
        <f>G24*(1-$B$15)</f>
        <v/>
      </c>
      <c r="I24" s="17">
        <f>H24*$B$14/52*$B$13</f>
        <v/>
      </c>
      <c r="J24" s="17">
        <f>IF($B$17&gt;0,H24,0)</f>
        <v/>
      </c>
      <c r="K24" s="17">
        <f>E24-SUM($H$20:H24)</f>
        <v/>
      </c>
      <c r="L24">
        <f>IF(F24&lt;$B$9,"Yes","No")</f>
        <v/>
      </c>
    </row>
    <row r="25">
      <c r="A25" t="n">
        <v>6</v>
      </c>
      <c r="B25" s="37">
        <f>MAX(0,MIN($B$11,$B$8-SUM($B$20:B24)))</f>
        <v/>
      </c>
      <c r="C25" s="37">
        <f>MIN(IF(A25&lt;=$B$12,0,N(OFFSET(B25,-$B$12,0))*$B$16),IF($B$9=0,0,F24/$B$9))</f>
        <v/>
      </c>
      <c r="D25" s="17">
        <f>C25*$B$9</f>
        <v/>
      </c>
      <c r="E25" s="17">
        <f>E24+D25</f>
        <v/>
      </c>
      <c r="F25" s="17">
        <f>$B$10-E25+SUM($J$20:J25)</f>
        <v/>
      </c>
      <c r="G25" s="17">
        <f>SUMIFS($D$20:D24,$A$20:A24,"&gt;="&amp;(A25-$B$13))/$B$13</f>
        <v/>
      </c>
      <c r="H25" s="17">
        <f>G25*(1-$B$15)</f>
        <v/>
      </c>
      <c r="I25" s="17">
        <f>H25*$B$14/52*$B$13</f>
        <v/>
      </c>
      <c r="J25" s="17">
        <f>IF($B$17&gt;0,H25,0)</f>
        <v/>
      </c>
      <c r="K25" s="17">
        <f>E25-SUM($H$20:H25)</f>
        <v/>
      </c>
      <c r="L25">
        <f>IF(F25&lt;$B$9,"Yes","No")</f>
        <v/>
      </c>
    </row>
    <row r="26">
      <c r="A26" t="n">
        <v>7</v>
      </c>
      <c r="B26" s="37">
        <f>MAX(0,MIN($B$11,$B$8-SUM($B$20:B25)))</f>
        <v/>
      </c>
      <c r="C26" s="37">
        <f>MIN(IF(A26&lt;=$B$12,0,N(OFFSET(B26,-$B$12,0))*$B$16),IF($B$9=0,0,F25/$B$9))</f>
        <v/>
      </c>
      <c r="D26" s="17">
        <f>C26*$B$9</f>
        <v/>
      </c>
      <c r="E26" s="17">
        <f>E25+D26</f>
        <v/>
      </c>
      <c r="F26" s="17">
        <f>$B$10-E26+SUM($J$20:J26)</f>
        <v/>
      </c>
      <c r="G26" s="17">
        <f>SUMIFS($D$20:D25,$A$20:A25,"&gt;="&amp;(A26-$B$13))/$B$13</f>
        <v/>
      </c>
      <c r="H26" s="17">
        <f>G26*(1-$B$15)</f>
        <v/>
      </c>
      <c r="I26" s="17">
        <f>H26*$B$14/52*$B$13</f>
        <v/>
      </c>
      <c r="J26" s="17">
        <f>IF($B$17&gt;0,H26,0)</f>
        <v/>
      </c>
      <c r="K26" s="17">
        <f>E26-SUM($H$20:H26)</f>
        <v/>
      </c>
      <c r="L26">
        <f>IF(F26&lt;$B$9,"Yes","No")</f>
        <v/>
      </c>
    </row>
    <row r="27">
      <c r="A27" t="n">
        <v>8</v>
      </c>
      <c r="B27" s="37">
        <f>MAX(0,MIN($B$11,$B$8-SUM($B$20:B26)))</f>
        <v/>
      </c>
      <c r="C27" s="37">
        <f>MIN(IF(A27&lt;=$B$12,0,N(OFFSET(B27,-$B$12,0))*$B$16),IF($B$9=0,0,F26/$B$9))</f>
        <v/>
      </c>
      <c r="D27" s="17">
        <f>C27*$B$9</f>
        <v/>
      </c>
      <c r="E27" s="17">
        <f>E26+D27</f>
        <v/>
      </c>
      <c r="F27" s="17">
        <f>$B$10-E27+SUM($J$20:J27)</f>
        <v/>
      </c>
      <c r="G27" s="17">
        <f>SUMIFS($D$20:D26,$A$20:A26,"&gt;="&amp;(A27-$B$13))/$B$13</f>
        <v/>
      </c>
      <c r="H27" s="17">
        <f>G27*(1-$B$15)</f>
        <v/>
      </c>
      <c r="I27" s="17">
        <f>H27*$B$14/52*$B$13</f>
        <v/>
      </c>
      <c r="J27" s="17">
        <f>IF($B$17&gt;0,H27,0)</f>
        <v/>
      </c>
      <c r="K27" s="17">
        <f>E27-SUM($H$20:H27)</f>
        <v/>
      </c>
      <c r="L27">
        <f>IF(F27&lt;$B$9,"Yes","No")</f>
        <v/>
      </c>
    </row>
    <row r="28">
      <c r="A28" t="n">
        <v>9</v>
      </c>
      <c r="B28" s="37">
        <f>MAX(0,MIN($B$11,$B$8-SUM($B$20:B27)))</f>
        <v/>
      </c>
      <c r="C28" s="37">
        <f>MIN(IF(A28&lt;=$B$12,0,N(OFFSET(B28,-$B$12,0))*$B$16),IF($B$9=0,0,F27/$B$9))</f>
        <v/>
      </c>
      <c r="D28" s="17">
        <f>C28*$B$9</f>
        <v/>
      </c>
      <c r="E28" s="17">
        <f>E27+D28</f>
        <v/>
      </c>
      <c r="F28" s="17">
        <f>$B$10-E28+SUM($J$20:J28)</f>
        <v/>
      </c>
      <c r="G28" s="17">
        <f>SUMIFS($D$20:D27,$A$20:A27,"&gt;="&amp;(A28-$B$13))/$B$13</f>
        <v/>
      </c>
      <c r="H28" s="17">
        <f>G28*(1-$B$15)</f>
        <v/>
      </c>
      <c r="I28" s="17">
        <f>H28*$B$14/52*$B$13</f>
        <v/>
      </c>
      <c r="J28" s="17">
        <f>IF($B$17&gt;0,H28,0)</f>
        <v/>
      </c>
      <c r="K28" s="17">
        <f>E28-SUM($H$20:H28)</f>
        <v/>
      </c>
      <c r="L28">
        <f>IF(F28&lt;$B$9,"Yes","No")</f>
        <v/>
      </c>
    </row>
    <row r="29">
      <c r="A29" t="n">
        <v>10</v>
      </c>
      <c r="B29" s="37">
        <f>MAX(0,MIN($B$11,$B$8-SUM($B$20:B28)))</f>
        <v/>
      </c>
      <c r="C29" s="37">
        <f>MIN(IF(A29&lt;=$B$12,0,N(OFFSET(B29,-$B$12,0))*$B$16),IF($B$9=0,0,F28/$B$9))</f>
        <v/>
      </c>
      <c r="D29" s="17">
        <f>C29*$B$9</f>
        <v/>
      </c>
      <c r="E29" s="17">
        <f>E28+D29</f>
        <v/>
      </c>
      <c r="F29" s="17">
        <f>$B$10-E29+SUM($J$20:J29)</f>
        <v/>
      </c>
      <c r="G29" s="17">
        <f>SUMIFS($D$20:D28,$A$20:A28,"&gt;="&amp;(A29-$B$13))/$B$13</f>
        <v/>
      </c>
      <c r="H29" s="17">
        <f>G29*(1-$B$15)</f>
        <v/>
      </c>
      <c r="I29" s="17">
        <f>H29*$B$14/52*$B$13</f>
        <v/>
      </c>
      <c r="J29" s="17">
        <f>IF($B$17&gt;0,H29,0)</f>
        <v/>
      </c>
      <c r="K29" s="17">
        <f>E29-SUM($H$20:H29)</f>
        <v/>
      </c>
      <c r="L29">
        <f>IF(F29&lt;$B$9,"Yes","No")</f>
        <v/>
      </c>
    </row>
    <row r="30">
      <c r="A30" t="n">
        <v>11</v>
      </c>
      <c r="B30" s="37">
        <f>MAX(0,MIN($B$11,$B$8-SUM($B$20:B29)))</f>
        <v/>
      </c>
      <c r="C30" s="37">
        <f>MIN(IF(A30&lt;=$B$12,0,N(OFFSET(B30,-$B$12,0))*$B$16),IF($B$9=0,0,F29/$B$9))</f>
        <v/>
      </c>
      <c r="D30" s="17">
        <f>C30*$B$9</f>
        <v/>
      </c>
      <c r="E30" s="17">
        <f>E29+D30</f>
        <v/>
      </c>
      <c r="F30" s="17">
        <f>$B$10-E30+SUM($J$20:J30)</f>
        <v/>
      </c>
      <c r="G30" s="17">
        <f>SUMIFS($D$20:D29,$A$20:A29,"&gt;="&amp;(A30-$B$13))/$B$13</f>
        <v/>
      </c>
      <c r="H30" s="17">
        <f>G30*(1-$B$15)</f>
        <v/>
      </c>
      <c r="I30" s="17">
        <f>H30*$B$14/52*$B$13</f>
        <v/>
      </c>
      <c r="J30" s="17">
        <f>IF($B$17&gt;0,H30,0)</f>
        <v/>
      </c>
      <c r="K30" s="17">
        <f>E30-SUM($H$20:H30)</f>
        <v/>
      </c>
      <c r="L30">
        <f>IF(F30&lt;$B$9,"Yes","No")</f>
        <v/>
      </c>
    </row>
    <row r="31">
      <c r="A31" t="n">
        <v>12</v>
      </c>
      <c r="B31" s="37">
        <f>MAX(0,MIN($B$11,$B$8-SUM($B$20:B30)))</f>
        <v/>
      </c>
      <c r="C31" s="37">
        <f>MIN(IF(A31&lt;=$B$12,0,N(OFFSET(B31,-$B$12,0))*$B$16),IF($B$9=0,0,F30/$B$9))</f>
        <v/>
      </c>
      <c r="D31" s="17">
        <f>C31*$B$9</f>
        <v/>
      </c>
      <c r="E31" s="17">
        <f>E30+D31</f>
        <v/>
      </c>
      <c r="F31" s="17">
        <f>$B$10-E31+SUM($J$20:J31)</f>
        <v/>
      </c>
      <c r="G31" s="17">
        <f>SUMIFS($D$20:D30,$A$20:A30,"&gt;="&amp;(A31-$B$13))/$B$13</f>
        <v/>
      </c>
      <c r="H31" s="17">
        <f>G31*(1-$B$15)</f>
        <v/>
      </c>
      <c r="I31" s="17">
        <f>H31*$B$14/52*$B$13</f>
        <v/>
      </c>
      <c r="J31" s="17">
        <f>IF($B$17&gt;0,H31,0)</f>
        <v/>
      </c>
      <c r="K31" s="17">
        <f>E31-SUM($H$20:H31)</f>
        <v/>
      </c>
      <c r="L31">
        <f>IF(F31&lt;$B$9,"Yes","No")</f>
        <v/>
      </c>
    </row>
    <row r="32">
      <c r="A32" t="n">
        <v>13</v>
      </c>
      <c r="B32" s="37">
        <f>MAX(0,MIN($B$11,$B$8-SUM($B$20:B31)))</f>
        <v/>
      </c>
      <c r="C32" s="37">
        <f>MIN(IF(A32&lt;=$B$12,0,N(OFFSET(B32,-$B$12,0))*$B$16),IF($B$9=0,0,F31/$B$9))</f>
        <v/>
      </c>
      <c r="D32" s="17">
        <f>C32*$B$9</f>
        <v/>
      </c>
      <c r="E32" s="17">
        <f>E31+D32</f>
        <v/>
      </c>
      <c r="F32" s="17">
        <f>$B$10-E32+SUM($J$20:J32)</f>
        <v/>
      </c>
      <c r="G32" s="17">
        <f>SUMIFS($D$20:D31,$A$20:A31,"&gt;="&amp;(A32-$B$13))/$B$13</f>
        <v/>
      </c>
      <c r="H32" s="17">
        <f>G32*(1-$B$15)</f>
        <v/>
      </c>
      <c r="I32" s="17">
        <f>H32*$B$14/52*$B$13</f>
        <v/>
      </c>
      <c r="J32" s="17">
        <f>IF($B$17&gt;0,H32,0)</f>
        <v/>
      </c>
      <c r="K32" s="17">
        <f>E32-SUM($H$20:H32)</f>
        <v/>
      </c>
      <c r="L32">
        <f>IF(F32&lt;$B$9,"Yes","No")</f>
        <v/>
      </c>
    </row>
    <row r="33">
      <c r="A33" t="n">
        <v>14</v>
      </c>
      <c r="B33" s="37">
        <f>MAX(0,MIN($B$11,$B$8-SUM($B$20:B32)))</f>
        <v/>
      </c>
      <c r="C33" s="37">
        <f>MIN(IF(A33&lt;=$B$12,0,N(OFFSET(B33,-$B$12,0))*$B$16),IF($B$9=0,0,F32/$B$9))</f>
        <v/>
      </c>
      <c r="D33" s="17">
        <f>C33*$B$9</f>
        <v/>
      </c>
      <c r="E33" s="17">
        <f>E32+D33</f>
        <v/>
      </c>
      <c r="F33" s="17">
        <f>$B$10-E33+SUM($J$20:J33)</f>
        <v/>
      </c>
      <c r="G33" s="17">
        <f>SUMIFS($D$20:D32,$A$20:A32,"&gt;="&amp;(A33-$B$13))/$B$13</f>
        <v/>
      </c>
      <c r="H33" s="17">
        <f>G33*(1-$B$15)</f>
        <v/>
      </c>
      <c r="I33" s="17">
        <f>H33*$B$14/52*$B$13</f>
        <v/>
      </c>
      <c r="J33" s="17">
        <f>IF($B$17&gt;0,H33,0)</f>
        <v/>
      </c>
      <c r="K33" s="17">
        <f>E33-SUM($H$20:H33)</f>
        <v/>
      </c>
      <c r="L33">
        <f>IF(F33&lt;$B$9,"Yes","No")</f>
        <v/>
      </c>
    </row>
    <row r="34">
      <c r="A34" t="n">
        <v>15</v>
      </c>
      <c r="B34" s="37">
        <f>MAX(0,MIN($B$11,$B$8-SUM($B$20:B33)))</f>
        <v/>
      </c>
      <c r="C34" s="37">
        <f>MIN(IF(A34&lt;=$B$12,0,N(OFFSET(B34,-$B$12,0))*$B$16),IF($B$9=0,0,F33/$B$9))</f>
        <v/>
      </c>
      <c r="D34" s="17">
        <f>C34*$B$9</f>
        <v/>
      </c>
      <c r="E34" s="17">
        <f>E33+D34</f>
        <v/>
      </c>
      <c r="F34" s="17">
        <f>$B$10-E34+SUM($J$20:J34)</f>
        <v/>
      </c>
      <c r="G34" s="17">
        <f>SUMIFS($D$20:D33,$A$20:A33,"&gt;="&amp;(A34-$B$13))/$B$13</f>
        <v/>
      </c>
      <c r="H34" s="17">
        <f>G34*(1-$B$15)</f>
        <v/>
      </c>
      <c r="I34" s="17">
        <f>H34*$B$14/52*$B$13</f>
        <v/>
      </c>
      <c r="J34" s="17">
        <f>IF($B$17&gt;0,H34,0)</f>
        <v/>
      </c>
      <c r="K34" s="17">
        <f>E34-SUM($H$20:H34)</f>
        <v/>
      </c>
      <c r="L34">
        <f>IF(F34&lt;$B$9,"Yes","No")</f>
        <v/>
      </c>
    </row>
    <row r="35">
      <c r="A35" t="n">
        <v>16</v>
      </c>
      <c r="B35" s="37">
        <f>MAX(0,MIN($B$11,$B$8-SUM($B$20:B34)))</f>
        <v/>
      </c>
      <c r="C35" s="37">
        <f>MIN(IF(A35&lt;=$B$12,0,N(OFFSET(B35,-$B$12,0))*$B$16),IF($B$9=0,0,F34/$B$9))</f>
        <v/>
      </c>
      <c r="D35" s="17">
        <f>C35*$B$9</f>
        <v/>
      </c>
      <c r="E35" s="17">
        <f>E34+D35</f>
        <v/>
      </c>
      <c r="F35" s="17">
        <f>$B$10-E35+SUM($J$20:J35)</f>
        <v/>
      </c>
      <c r="G35" s="17">
        <f>SUMIFS($D$20:D34,$A$20:A34,"&gt;="&amp;(A35-$B$13))/$B$13</f>
        <v/>
      </c>
      <c r="H35" s="17">
        <f>G35*(1-$B$15)</f>
        <v/>
      </c>
      <c r="I35" s="17">
        <f>H35*$B$14/52*$B$13</f>
        <v/>
      </c>
      <c r="J35" s="17">
        <f>IF($B$17&gt;0,H35,0)</f>
        <v/>
      </c>
      <c r="K35" s="17">
        <f>E35-SUM($H$20:H35)</f>
        <v/>
      </c>
      <c r="L35">
        <f>IF(F35&lt;$B$9,"Yes","No")</f>
        <v/>
      </c>
    </row>
    <row r="36">
      <c r="A36" t="n">
        <v>17</v>
      </c>
      <c r="B36" s="37">
        <f>MAX(0,MIN($B$11,$B$8-SUM($B$20:B35)))</f>
        <v/>
      </c>
      <c r="C36" s="37">
        <f>MIN(IF(A36&lt;=$B$12,0,N(OFFSET(B36,-$B$12,0))*$B$16),IF($B$9=0,0,F35/$B$9))</f>
        <v/>
      </c>
      <c r="D36" s="17">
        <f>C36*$B$9</f>
        <v/>
      </c>
      <c r="E36" s="17">
        <f>E35+D36</f>
        <v/>
      </c>
      <c r="F36" s="17">
        <f>$B$10-E36+SUM($J$20:J36)</f>
        <v/>
      </c>
      <c r="G36" s="17">
        <f>SUMIFS($D$20:D35,$A$20:A35,"&gt;="&amp;(A36-$B$13))/$B$13</f>
        <v/>
      </c>
      <c r="H36" s="17">
        <f>G36*(1-$B$15)</f>
        <v/>
      </c>
      <c r="I36" s="17">
        <f>H36*$B$14/52*$B$13</f>
        <v/>
      </c>
      <c r="J36" s="17">
        <f>IF($B$17&gt;0,H36,0)</f>
        <v/>
      </c>
      <c r="K36" s="17">
        <f>E36-SUM($H$20:H36)</f>
        <v/>
      </c>
      <c r="L36">
        <f>IF(F36&lt;$B$9,"Yes","No")</f>
        <v/>
      </c>
    </row>
    <row r="37">
      <c r="A37" t="n">
        <v>18</v>
      </c>
      <c r="B37" s="37">
        <f>MAX(0,MIN($B$11,$B$8-SUM($B$20:B36)))</f>
        <v/>
      </c>
      <c r="C37" s="37">
        <f>MIN(IF(A37&lt;=$B$12,0,N(OFFSET(B37,-$B$12,0))*$B$16),IF($B$9=0,0,F36/$B$9))</f>
        <v/>
      </c>
      <c r="D37" s="17">
        <f>C37*$B$9</f>
        <v/>
      </c>
      <c r="E37" s="17">
        <f>E36+D37</f>
        <v/>
      </c>
      <c r="F37" s="17">
        <f>$B$10-E37+SUM($J$20:J37)</f>
        <v/>
      </c>
      <c r="G37" s="17">
        <f>SUMIFS($D$20:D36,$A$20:A36,"&gt;="&amp;(A37-$B$13))/$B$13</f>
        <v/>
      </c>
      <c r="H37" s="17">
        <f>G37*(1-$B$15)</f>
        <v/>
      </c>
      <c r="I37" s="17">
        <f>H37*$B$14/52*$B$13</f>
        <v/>
      </c>
      <c r="J37" s="17">
        <f>IF($B$17&gt;0,H37,0)</f>
        <v/>
      </c>
      <c r="K37" s="17">
        <f>E37-SUM($H$20:H37)</f>
        <v/>
      </c>
      <c r="L37">
        <f>IF(F37&lt;$B$9,"Yes","No")</f>
        <v/>
      </c>
    </row>
    <row r="38">
      <c r="A38" t="n">
        <v>19</v>
      </c>
      <c r="B38" s="37">
        <f>MAX(0,MIN($B$11,$B$8-SUM($B$20:B37)))</f>
        <v/>
      </c>
      <c r="C38" s="37">
        <f>MIN(IF(A38&lt;=$B$12,0,N(OFFSET(B38,-$B$12,0))*$B$16),IF($B$9=0,0,F37/$B$9))</f>
        <v/>
      </c>
      <c r="D38" s="17">
        <f>C38*$B$9</f>
        <v/>
      </c>
      <c r="E38" s="17">
        <f>E37+D38</f>
        <v/>
      </c>
      <c r="F38" s="17">
        <f>$B$10-E38+SUM($J$20:J38)</f>
        <v/>
      </c>
      <c r="G38" s="17">
        <f>SUMIFS($D$20:D37,$A$20:A37,"&gt;="&amp;(A38-$B$13))/$B$13</f>
        <v/>
      </c>
      <c r="H38" s="17">
        <f>G38*(1-$B$15)</f>
        <v/>
      </c>
      <c r="I38" s="17">
        <f>H38*$B$14/52*$B$13</f>
        <v/>
      </c>
      <c r="J38" s="17">
        <f>IF($B$17&gt;0,H38,0)</f>
        <v/>
      </c>
      <c r="K38" s="17">
        <f>E38-SUM($H$20:H38)</f>
        <v/>
      </c>
      <c r="L38">
        <f>IF(F38&lt;$B$9,"Yes","No")</f>
        <v/>
      </c>
    </row>
    <row r="39">
      <c r="A39" t="n">
        <v>20</v>
      </c>
      <c r="B39" s="37">
        <f>MAX(0,MIN($B$11,$B$8-SUM($B$20:B38)))</f>
        <v/>
      </c>
      <c r="C39" s="37">
        <f>MIN(IF(A39&lt;=$B$12,0,N(OFFSET(B39,-$B$12,0))*$B$16),IF($B$9=0,0,F38/$B$9))</f>
        <v/>
      </c>
      <c r="D39" s="17">
        <f>C39*$B$9</f>
        <v/>
      </c>
      <c r="E39" s="17">
        <f>E38+D39</f>
        <v/>
      </c>
      <c r="F39" s="17">
        <f>$B$10-E39+SUM($J$20:J39)</f>
        <v/>
      </c>
      <c r="G39" s="17">
        <f>SUMIFS($D$20:D38,$A$20:A38,"&gt;="&amp;(A39-$B$13))/$B$13</f>
        <v/>
      </c>
      <c r="H39" s="17">
        <f>G39*(1-$B$15)</f>
        <v/>
      </c>
      <c r="I39" s="17">
        <f>H39*$B$14/52*$B$13</f>
        <v/>
      </c>
      <c r="J39" s="17">
        <f>IF($B$17&gt;0,H39,0)</f>
        <v/>
      </c>
      <c r="K39" s="17">
        <f>E39-SUM($H$20:H39)</f>
        <v/>
      </c>
      <c r="L39">
        <f>IF(F39&lt;$B$9,"Yes","No")</f>
        <v/>
      </c>
    </row>
    <row r="40">
      <c r="A40" t="n">
        <v>21</v>
      </c>
      <c r="B40" s="37">
        <f>MAX(0,MIN($B$11,$B$8-SUM($B$20:B39)))</f>
        <v/>
      </c>
      <c r="C40" s="37">
        <f>MIN(IF(A40&lt;=$B$12,0,N(OFFSET(B40,-$B$12,0))*$B$16),IF($B$9=0,0,F39/$B$9))</f>
        <v/>
      </c>
      <c r="D40" s="17">
        <f>C40*$B$9</f>
        <v/>
      </c>
      <c r="E40" s="17">
        <f>E39+D40</f>
        <v/>
      </c>
      <c r="F40" s="17">
        <f>$B$10-E40+SUM($J$20:J40)</f>
        <v/>
      </c>
      <c r="G40" s="17">
        <f>SUMIFS($D$20:D39,$A$20:A39,"&gt;="&amp;(A40-$B$13))/$B$13</f>
        <v/>
      </c>
      <c r="H40" s="17">
        <f>G40*(1-$B$15)</f>
        <v/>
      </c>
      <c r="I40" s="17">
        <f>H40*$B$14/52*$B$13</f>
        <v/>
      </c>
      <c r="J40" s="17">
        <f>IF($B$17&gt;0,H40,0)</f>
        <v/>
      </c>
      <c r="K40" s="17">
        <f>E40-SUM($H$20:H40)</f>
        <v/>
      </c>
      <c r="L40">
        <f>IF(F40&lt;$B$9,"Yes","No")</f>
        <v/>
      </c>
    </row>
    <row r="41">
      <c r="A41" t="n">
        <v>22</v>
      </c>
      <c r="B41" s="37">
        <f>MAX(0,MIN($B$11,$B$8-SUM($B$20:B40)))</f>
        <v/>
      </c>
      <c r="C41" s="37">
        <f>MIN(IF(A41&lt;=$B$12,0,N(OFFSET(B41,-$B$12,0))*$B$16),IF($B$9=0,0,F40/$B$9))</f>
        <v/>
      </c>
      <c r="D41" s="17">
        <f>C41*$B$9</f>
        <v/>
      </c>
      <c r="E41" s="17">
        <f>E40+D41</f>
        <v/>
      </c>
      <c r="F41" s="17">
        <f>$B$10-E41+SUM($J$20:J41)</f>
        <v/>
      </c>
      <c r="G41" s="17">
        <f>SUMIFS($D$20:D40,$A$20:A40,"&gt;="&amp;(A41-$B$13))/$B$13</f>
        <v/>
      </c>
      <c r="H41" s="17">
        <f>G41*(1-$B$15)</f>
        <v/>
      </c>
      <c r="I41" s="17">
        <f>H41*$B$14/52*$B$13</f>
        <v/>
      </c>
      <c r="J41" s="17">
        <f>IF($B$17&gt;0,H41,0)</f>
        <v/>
      </c>
      <c r="K41" s="17">
        <f>E41-SUM($H$20:H41)</f>
        <v/>
      </c>
      <c r="L41">
        <f>IF(F41&lt;$B$9,"Yes","No")</f>
        <v/>
      </c>
    </row>
    <row r="42">
      <c r="A42" t="n">
        <v>23</v>
      </c>
      <c r="B42" s="37">
        <f>MAX(0,MIN($B$11,$B$8-SUM($B$20:B41)))</f>
        <v/>
      </c>
      <c r="C42" s="37">
        <f>MIN(IF(A42&lt;=$B$12,0,N(OFFSET(B42,-$B$12,0))*$B$16),IF($B$9=0,0,F41/$B$9))</f>
        <v/>
      </c>
      <c r="D42" s="17">
        <f>C42*$B$9</f>
        <v/>
      </c>
      <c r="E42" s="17">
        <f>E41+D42</f>
        <v/>
      </c>
      <c r="F42" s="17">
        <f>$B$10-E42+SUM($J$20:J42)</f>
        <v/>
      </c>
      <c r="G42" s="17">
        <f>SUMIFS($D$20:D41,$A$20:A41,"&gt;="&amp;(A42-$B$13))/$B$13</f>
        <v/>
      </c>
      <c r="H42" s="17">
        <f>G42*(1-$B$15)</f>
        <v/>
      </c>
      <c r="I42" s="17">
        <f>H42*$B$14/52*$B$13</f>
        <v/>
      </c>
      <c r="J42" s="17">
        <f>IF($B$17&gt;0,H42,0)</f>
        <v/>
      </c>
      <c r="K42" s="17">
        <f>E42-SUM($H$20:H42)</f>
        <v/>
      </c>
      <c r="L42">
        <f>IF(F42&lt;$B$9,"Yes","No")</f>
        <v/>
      </c>
    </row>
    <row r="43">
      <c r="A43" t="n">
        <v>24</v>
      </c>
      <c r="B43" s="37">
        <f>MAX(0,MIN($B$11,$B$8-SUM($B$20:B42)))</f>
        <v/>
      </c>
      <c r="C43" s="37">
        <f>MIN(IF(A43&lt;=$B$12,0,N(OFFSET(B43,-$B$12,0))*$B$16),IF($B$9=0,0,F42/$B$9))</f>
        <v/>
      </c>
      <c r="D43" s="17">
        <f>C43*$B$9</f>
        <v/>
      </c>
      <c r="E43" s="17">
        <f>E42+D43</f>
        <v/>
      </c>
      <c r="F43" s="17">
        <f>$B$10-E43+SUM($J$20:J43)</f>
        <v/>
      </c>
      <c r="G43" s="17">
        <f>SUMIFS($D$20:D42,$A$20:A42,"&gt;="&amp;(A43-$B$13))/$B$13</f>
        <v/>
      </c>
      <c r="H43" s="17">
        <f>G43*(1-$B$15)</f>
        <v/>
      </c>
      <c r="I43" s="17">
        <f>H43*$B$14/52*$B$13</f>
        <v/>
      </c>
      <c r="J43" s="17">
        <f>IF($B$17&gt;0,H43,0)</f>
        <v/>
      </c>
      <c r="K43" s="17">
        <f>E43-SUM($H$20:H43)</f>
        <v/>
      </c>
      <c r="L43">
        <f>IF(F43&lt;$B$9,"Yes","No")</f>
        <v/>
      </c>
    </row>
    <row r="44">
      <c r="A44" t="n">
        <v>25</v>
      </c>
      <c r="B44" s="37">
        <f>MAX(0,MIN($B$11,$B$8-SUM($B$20:B43)))</f>
        <v/>
      </c>
      <c r="C44" s="37">
        <f>MIN(IF(A44&lt;=$B$12,0,N(OFFSET(B44,-$B$12,0))*$B$16),IF($B$9=0,0,F43/$B$9))</f>
        <v/>
      </c>
      <c r="D44" s="17">
        <f>C44*$B$9</f>
        <v/>
      </c>
      <c r="E44" s="17">
        <f>E43+D44</f>
        <v/>
      </c>
      <c r="F44" s="17">
        <f>$B$10-E44+SUM($J$20:J44)</f>
        <v/>
      </c>
      <c r="G44" s="17">
        <f>SUMIFS($D$20:D43,$A$20:A43,"&gt;="&amp;(A44-$B$13))/$B$13</f>
        <v/>
      </c>
      <c r="H44" s="17">
        <f>G44*(1-$B$15)</f>
        <v/>
      </c>
      <c r="I44" s="17">
        <f>H44*$B$14/52*$B$13</f>
        <v/>
      </c>
      <c r="J44" s="17">
        <f>IF($B$17&gt;0,H44,0)</f>
        <v/>
      </c>
      <c r="K44" s="17">
        <f>E44-SUM($H$20:H44)</f>
        <v/>
      </c>
      <c r="L44">
        <f>IF(F44&lt;$B$9,"Yes","No")</f>
        <v/>
      </c>
    </row>
    <row r="45">
      <c r="A45" t="n">
        <v>26</v>
      </c>
      <c r="B45" s="37">
        <f>MAX(0,MIN($B$11,$B$8-SUM($B$20:B44)))</f>
        <v/>
      </c>
      <c r="C45" s="37">
        <f>MIN(IF(A45&lt;=$B$12,0,N(OFFSET(B45,-$B$12,0))*$B$16),IF($B$9=0,0,F44/$B$9))</f>
        <v/>
      </c>
      <c r="D45" s="17">
        <f>C45*$B$9</f>
        <v/>
      </c>
      <c r="E45" s="17">
        <f>E44+D45</f>
        <v/>
      </c>
      <c r="F45" s="17">
        <f>$B$10-E45+SUM($J$20:J45)</f>
        <v/>
      </c>
      <c r="G45" s="17">
        <f>SUMIFS($D$20:D44,$A$20:A44,"&gt;="&amp;(A45-$B$13))/$B$13</f>
        <v/>
      </c>
      <c r="H45" s="17">
        <f>G45*(1-$B$15)</f>
        <v/>
      </c>
      <c r="I45" s="17">
        <f>H45*$B$14/52*$B$13</f>
        <v/>
      </c>
      <c r="J45" s="17">
        <f>IF($B$17&gt;0,H45,0)</f>
        <v/>
      </c>
      <c r="K45" s="17">
        <f>E45-SUM($H$20:H45)</f>
        <v/>
      </c>
      <c r="L45">
        <f>IF(F45&lt;$B$9,"Yes","No")</f>
        <v/>
      </c>
    </row>
    <row r="46">
      <c r="A46" t="n">
        <v>27</v>
      </c>
      <c r="B46" s="37">
        <f>MAX(0,MIN($B$11,$B$8-SUM($B$20:B45)))</f>
        <v/>
      </c>
      <c r="C46" s="37">
        <f>MIN(IF(A46&lt;=$B$12,0,N(OFFSET(B46,-$B$12,0))*$B$16),IF($B$9=0,0,F45/$B$9))</f>
        <v/>
      </c>
      <c r="D46" s="17">
        <f>C46*$B$9</f>
        <v/>
      </c>
      <c r="E46" s="17">
        <f>E45+D46</f>
        <v/>
      </c>
      <c r="F46" s="17">
        <f>$B$10-E46+SUM($J$20:J46)</f>
        <v/>
      </c>
      <c r="G46" s="17">
        <f>SUMIFS($D$20:D45,$A$20:A45,"&gt;="&amp;(A46-$B$13))/$B$13</f>
        <v/>
      </c>
      <c r="H46" s="17">
        <f>G46*(1-$B$15)</f>
        <v/>
      </c>
      <c r="I46" s="17">
        <f>H46*$B$14/52*$B$13</f>
        <v/>
      </c>
      <c r="J46" s="17">
        <f>IF($B$17&gt;0,H46,0)</f>
        <v/>
      </c>
      <c r="K46" s="17">
        <f>E46-SUM($H$20:H46)</f>
        <v/>
      </c>
      <c r="L46">
        <f>IF(F46&lt;$B$9,"Yes","No")</f>
        <v/>
      </c>
    </row>
    <row r="47">
      <c r="A47" t="n">
        <v>28</v>
      </c>
      <c r="B47" s="37">
        <f>MAX(0,MIN($B$11,$B$8-SUM($B$20:B46)))</f>
        <v/>
      </c>
      <c r="C47" s="37">
        <f>MIN(IF(A47&lt;=$B$12,0,N(OFFSET(B47,-$B$12,0))*$B$16),IF($B$9=0,0,F46/$B$9))</f>
        <v/>
      </c>
      <c r="D47" s="17">
        <f>C47*$B$9</f>
        <v/>
      </c>
      <c r="E47" s="17">
        <f>E46+D47</f>
        <v/>
      </c>
      <c r="F47" s="17">
        <f>$B$10-E47+SUM($J$20:J47)</f>
        <v/>
      </c>
      <c r="G47" s="17">
        <f>SUMIFS($D$20:D46,$A$20:A46,"&gt;="&amp;(A47-$B$13))/$B$13</f>
        <v/>
      </c>
      <c r="H47" s="17">
        <f>G47*(1-$B$15)</f>
        <v/>
      </c>
      <c r="I47" s="17">
        <f>H47*$B$14/52*$B$13</f>
        <v/>
      </c>
      <c r="J47" s="17">
        <f>IF($B$17&gt;0,H47,0)</f>
        <v/>
      </c>
      <c r="K47" s="17">
        <f>E47-SUM($H$20:H47)</f>
        <v/>
      </c>
      <c r="L47">
        <f>IF(F47&lt;$B$9,"Yes","No")</f>
        <v/>
      </c>
    </row>
    <row r="48">
      <c r="A48" t="n">
        <v>29</v>
      </c>
      <c r="B48" s="37">
        <f>MAX(0,MIN($B$11,$B$8-SUM($B$20:B47)))</f>
        <v/>
      </c>
      <c r="C48" s="37">
        <f>MIN(IF(A48&lt;=$B$12,0,N(OFFSET(B48,-$B$12,0))*$B$16),IF($B$9=0,0,F47/$B$9))</f>
        <v/>
      </c>
      <c r="D48" s="17">
        <f>C48*$B$9</f>
        <v/>
      </c>
      <c r="E48" s="17">
        <f>E47+D48</f>
        <v/>
      </c>
      <c r="F48" s="17">
        <f>$B$10-E48+SUM($J$20:J48)</f>
        <v/>
      </c>
      <c r="G48" s="17">
        <f>SUMIFS($D$20:D47,$A$20:A47,"&gt;="&amp;(A48-$B$13))/$B$13</f>
        <v/>
      </c>
      <c r="H48" s="17">
        <f>G48*(1-$B$15)</f>
        <v/>
      </c>
      <c r="I48" s="17">
        <f>H48*$B$14/52*$B$13</f>
        <v/>
      </c>
      <c r="J48" s="17">
        <f>IF($B$17&gt;0,H48,0)</f>
        <v/>
      </c>
      <c r="K48" s="17">
        <f>E48-SUM($H$20:H48)</f>
        <v/>
      </c>
      <c r="L48">
        <f>IF(F48&lt;$B$9,"Yes","No")</f>
        <v/>
      </c>
    </row>
    <row r="49">
      <c r="A49" t="n">
        <v>30</v>
      </c>
      <c r="B49" s="37">
        <f>MAX(0,MIN($B$11,$B$8-SUM($B$20:B48)))</f>
        <v/>
      </c>
      <c r="C49" s="37">
        <f>MIN(IF(A49&lt;=$B$12,0,N(OFFSET(B49,-$B$12,0))*$B$16),IF($B$9=0,0,F48/$B$9))</f>
        <v/>
      </c>
      <c r="D49" s="17">
        <f>C49*$B$9</f>
        <v/>
      </c>
      <c r="E49" s="17">
        <f>E48+D49</f>
        <v/>
      </c>
      <c r="F49" s="17">
        <f>$B$10-E49+SUM($J$20:J49)</f>
        <v/>
      </c>
      <c r="G49" s="17">
        <f>SUMIFS($D$20:D48,$A$20:A48,"&gt;="&amp;(A49-$B$13))/$B$13</f>
        <v/>
      </c>
      <c r="H49" s="17">
        <f>G49*(1-$B$15)</f>
        <v/>
      </c>
      <c r="I49" s="17">
        <f>H49*$B$14/52*$B$13</f>
        <v/>
      </c>
      <c r="J49" s="17">
        <f>IF($B$17&gt;0,H49,0)</f>
        <v/>
      </c>
      <c r="K49" s="17">
        <f>E49-SUM($H$20:H49)</f>
        <v/>
      </c>
      <c r="L49">
        <f>IF(F49&lt;$B$9,"Yes","No")</f>
        <v/>
      </c>
    </row>
    <row r="50">
      <c r="A50" t="n">
        <v>31</v>
      </c>
      <c r="B50" s="37">
        <f>MAX(0,MIN($B$11,$B$8-SUM($B$20:B49)))</f>
        <v/>
      </c>
      <c r="C50" s="37">
        <f>MIN(IF(A50&lt;=$B$12,0,N(OFFSET(B50,-$B$12,0))*$B$16),IF($B$9=0,0,F49/$B$9))</f>
        <v/>
      </c>
      <c r="D50" s="17">
        <f>C50*$B$9</f>
        <v/>
      </c>
      <c r="E50" s="17">
        <f>E49+D50</f>
        <v/>
      </c>
      <c r="F50" s="17">
        <f>$B$10-E50+SUM($J$20:J50)</f>
        <v/>
      </c>
      <c r="G50" s="17">
        <f>SUMIFS($D$20:D49,$A$20:A49,"&gt;="&amp;(A50-$B$13))/$B$13</f>
        <v/>
      </c>
      <c r="H50" s="17">
        <f>G50*(1-$B$15)</f>
        <v/>
      </c>
      <c r="I50" s="17">
        <f>H50*$B$14/52*$B$13</f>
        <v/>
      </c>
      <c r="J50" s="17">
        <f>IF($B$17&gt;0,H50,0)</f>
        <v/>
      </c>
      <c r="K50" s="17">
        <f>E50-SUM($H$20:H50)</f>
        <v/>
      </c>
      <c r="L50">
        <f>IF(F50&lt;$B$9,"Yes","No")</f>
        <v/>
      </c>
    </row>
    <row r="51">
      <c r="A51" t="n">
        <v>32</v>
      </c>
      <c r="B51" s="37">
        <f>MAX(0,MIN($B$11,$B$8-SUM($B$20:B50)))</f>
        <v/>
      </c>
      <c r="C51" s="37">
        <f>MIN(IF(A51&lt;=$B$12,0,N(OFFSET(B51,-$B$12,0))*$B$16),IF($B$9=0,0,F50/$B$9))</f>
        <v/>
      </c>
      <c r="D51" s="17">
        <f>C51*$B$9</f>
        <v/>
      </c>
      <c r="E51" s="17">
        <f>E50+D51</f>
        <v/>
      </c>
      <c r="F51" s="17">
        <f>$B$10-E51+SUM($J$20:J51)</f>
        <v/>
      </c>
      <c r="G51" s="17">
        <f>SUMIFS($D$20:D50,$A$20:A50,"&gt;="&amp;(A51-$B$13))/$B$13</f>
        <v/>
      </c>
      <c r="H51" s="17">
        <f>G51*(1-$B$15)</f>
        <v/>
      </c>
      <c r="I51" s="17">
        <f>H51*$B$14/52*$B$13</f>
        <v/>
      </c>
      <c r="J51" s="17">
        <f>IF($B$17&gt;0,H51,0)</f>
        <v/>
      </c>
      <c r="K51" s="17">
        <f>E51-SUM($H$20:H51)</f>
        <v/>
      </c>
      <c r="L51">
        <f>IF(F51&lt;$B$9,"Yes","No")</f>
        <v/>
      </c>
    </row>
    <row r="52">
      <c r="A52" t="n">
        <v>33</v>
      </c>
      <c r="B52" s="37">
        <f>MAX(0,MIN($B$11,$B$8-SUM($B$20:B51)))</f>
        <v/>
      </c>
      <c r="C52" s="37">
        <f>MIN(IF(A52&lt;=$B$12,0,N(OFFSET(B52,-$B$12,0))*$B$16),IF($B$9=0,0,F51/$B$9))</f>
        <v/>
      </c>
      <c r="D52" s="17">
        <f>C52*$B$9</f>
        <v/>
      </c>
      <c r="E52" s="17">
        <f>E51+D52</f>
        <v/>
      </c>
      <c r="F52" s="17">
        <f>$B$10-E52+SUM($J$20:J52)</f>
        <v/>
      </c>
      <c r="G52" s="17">
        <f>SUMIFS($D$20:D51,$A$20:A51,"&gt;="&amp;(A52-$B$13))/$B$13</f>
        <v/>
      </c>
      <c r="H52" s="17">
        <f>G52*(1-$B$15)</f>
        <v/>
      </c>
      <c r="I52" s="17">
        <f>H52*$B$14/52*$B$13</f>
        <v/>
      </c>
      <c r="J52" s="17">
        <f>IF($B$17&gt;0,H52,0)</f>
        <v/>
      </c>
      <c r="K52" s="17">
        <f>E52-SUM($H$20:H52)</f>
        <v/>
      </c>
      <c r="L52">
        <f>IF(F52&lt;$B$9,"Yes","No")</f>
        <v/>
      </c>
    </row>
    <row r="53">
      <c r="A53" t="n">
        <v>34</v>
      </c>
      <c r="B53" s="37">
        <f>MAX(0,MIN($B$11,$B$8-SUM($B$20:B52)))</f>
        <v/>
      </c>
      <c r="C53" s="37">
        <f>MIN(IF(A53&lt;=$B$12,0,N(OFFSET(B53,-$B$12,0))*$B$16),IF($B$9=0,0,F52/$B$9))</f>
        <v/>
      </c>
      <c r="D53" s="17">
        <f>C53*$B$9</f>
        <v/>
      </c>
      <c r="E53" s="17">
        <f>E52+D53</f>
        <v/>
      </c>
      <c r="F53" s="17">
        <f>$B$10-E53+SUM($J$20:J53)</f>
        <v/>
      </c>
      <c r="G53" s="17">
        <f>SUMIFS($D$20:D52,$A$20:A52,"&gt;="&amp;(A53-$B$13))/$B$13</f>
        <v/>
      </c>
      <c r="H53" s="17">
        <f>G53*(1-$B$15)</f>
        <v/>
      </c>
      <c r="I53" s="17">
        <f>H53*$B$14/52*$B$13</f>
        <v/>
      </c>
      <c r="J53" s="17">
        <f>IF($B$17&gt;0,H53,0)</f>
        <v/>
      </c>
      <c r="K53" s="17">
        <f>E53-SUM($H$20:H53)</f>
        <v/>
      </c>
      <c r="L53">
        <f>IF(F53&lt;$B$9,"Yes","No")</f>
        <v/>
      </c>
    </row>
    <row r="54">
      <c r="A54" t="n">
        <v>35</v>
      </c>
      <c r="B54" s="37">
        <f>MAX(0,MIN($B$11,$B$8-SUM($B$20:B53)))</f>
        <v/>
      </c>
      <c r="C54" s="37">
        <f>MIN(IF(A54&lt;=$B$12,0,N(OFFSET(B54,-$B$12,0))*$B$16),IF($B$9=0,0,F53/$B$9))</f>
        <v/>
      </c>
      <c r="D54" s="17">
        <f>C54*$B$9</f>
        <v/>
      </c>
      <c r="E54" s="17">
        <f>E53+D54</f>
        <v/>
      </c>
      <c r="F54" s="17">
        <f>$B$10-E54+SUM($J$20:J54)</f>
        <v/>
      </c>
      <c r="G54" s="17">
        <f>SUMIFS($D$20:D53,$A$20:A53,"&gt;="&amp;(A54-$B$13))/$B$13</f>
        <v/>
      </c>
      <c r="H54" s="17">
        <f>G54*(1-$B$15)</f>
        <v/>
      </c>
      <c r="I54" s="17">
        <f>H54*$B$14/52*$B$13</f>
        <v/>
      </c>
      <c r="J54" s="17">
        <f>IF($B$17&gt;0,H54,0)</f>
        <v/>
      </c>
      <c r="K54" s="17">
        <f>E54-SUM($H$20:H54)</f>
        <v/>
      </c>
      <c r="L54">
        <f>IF(F54&lt;$B$9,"Yes","No")</f>
        <v/>
      </c>
    </row>
    <row r="55">
      <c r="A55" t="n">
        <v>36</v>
      </c>
      <c r="B55" s="37">
        <f>MAX(0,MIN($B$11,$B$8-SUM($B$20:B54)))</f>
        <v/>
      </c>
      <c r="C55" s="37">
        <f>MIN(IF(A55&lt;=$B$12,0,N(OFFSET(B55,-$B$12,0))*$B$16),IF($B$9=0,0,F54/$B$9))</f>
        <v/>
      </c>
      <c r="D55" s="17">
        <f>C55*$B$9</f>
        <v/>
      </c>
      <c r="E55" s="17">
        <f>E54+D55</f>
        <v/>
      </c>
      <c r="F55" s="17">
        <f>$B$10-E55+SUM($J$20:J55)</f>
        <v/>
      </c>
      <c r="G55" s="17">
        <f>SUMIFS($D$20:D54,$A$20:A54,"&gt;="&amp;(A55-$B$13))/$B$13</f>
        <v/>
      </c>
      <c r="H55" s="17">
        <f>G55*(1-$B$15)</f>
        <v/>
      </c>
      <c r="I55" s="17">
        <f>H55*$B$14/52*$B$13</f>
        <v/>
      </c>
      <c r="J55" s="17">
        <f>IF($B$17&gt;0,H55,0)</f>
        <v/>
      </c>
      <c r="K55" s="17">
        <f>E55-SUM($H$20:H55)</f>
        <v/>
      </c>
      <c r="L55">
        <f>IF(F55&lt;$B$9,"Yes","No")</f>
        <v/>
      </c>
    </row>
    <row r="56">
      <c r="A56" t="n">
        <v>37</v>
      </c>
      <c r="B56" s="37">
        <f>MAX(0,MIN($B$11,$B$8-SUM($B$20:B55)))</f>
        <v/>
      </c>
      <c r="C56" s="37">
        <f>MIN(IF(A56&lt;=$B$12,0,N(OFFSET(B56,-$B$12,0))*$B$16),IF($B$9=0,0,F55/$B$9))</f>
        <v/>
      </c>
      <c r="D56" s="17">
        <f>C56*$B$9</f>
        <v/>
      </c>
      <c r="E56" s="17">
        <f>E55+D56</f>
        <v/>
      </c>
      <c r="F56" s="17">
        <f>$B$10-E56+SUM($J$20:J56)</f>
        <v/>
      </c>
      <c r="G56" s="17">
        <f>SUMIFS($D$20:D55,$A$20:A55,"&gt;="&amp;(A56-$B$13))/$B$13</f>
        <v/>
      </c>
      <c r="H56" s="17">
        <f>G56*(1-$B$15)</f>
        <v/>
      </c>
      <c r="I56" s="17">
        <f>H56*$B$14/52*$B$13</f>
        <v/>
      </c>
      <c r="J56" s="17">
        <f>IF($B$17&gt;0,H56,0)</f>
        <v/>
      </c>
      <c r="K56" s="17">
        <f>E56-SUM($H$20:H56)</f>
        <v/>
      </c>
      <c r="L56">
        <f>IF(F56&lt;$B$9,"Yes","No")</f>
        <v/>
      </c>
    </row>
    <row r="57">
      <c r="A57" t="n">
        <v>38</v>
      </c>
      <c r="B57" s="37">
        <f>MAX(0,MIN($B$11,$B$8-SUM($B$20:B56)))</f>
        <v/>
      </c>
      <c r="C57" s="37">
        <f>MIN(IF(A57&lt;=$B$12,0,N(OFFSET(B57,-$B$12,0))*$B$16),IF($B$9=0,0,F56/$B$9))</f>
        <v/>
      </c>
      <c r="D57" s="17">
        <f>C57*$B$9</f>
        <v/>
      </c>
      <c r="E57" s="17">
        <f>E56+D57</f>
        <v/>
      </c>
      <c r="F57" s="17">
        <f>$B$10-E57+SUM($J$20:J57)</f>
        <v/>
      </c>
      <c r="G57" s="17">
        <f>SUMIFS($D$20:D56,$A$20:A56,"&gt;="&amp;(A57-$B$13))/$B$13</f>
        <v/>
      </c>
      <c r="H57" s="17">
        <f>G57*(1-$B$15)</f>
        <v/>
      </c>
      <c r="I57" s="17">
        <f>H57*$B$14/52*$B$13</f>
        <v/>
      </c>
      <c r="J57" s="17">
        <f>IF($B$17&gt;0,H57,0)</f>
        <v/>
      </c>
      <c r="K57" s="17">
        <f>E57-SUM($H$20:H57)</f>
        <v/>
      </c>
      <c r="L57">
        <f>IF(F57&lt;$B$9,"Yes","No")</f>
        <v/>
      </c>
    </row>
    <row r="58">
      <c r="A58" t="n">
        <v>39</v>
      </c>
      <c r="B58" s="37">
        <f>MAX(0,MIN($B$11,$B$8-SUM($B$20:B57)))</f>
        <v/>
      </c>
      <c r="C58" s="37">
        <f>MIN(IF(A58&lt;=$B$12,0,N(OFFSET(B58,-$B$12,0))*$B$16),IF($B$9=0,0,F57/$B$9))</f>
        <v/>
      </c>
      <c r="D58" s="17">
        <f>C58*$B$9</f>
        <v/>
      </c>
      <c r="E58" s="17">
        <f>E57+D58</f>
        <v/>
      </c>
      <c r="F58" s="17">
        <f>$B$10-E58+SUM($J$20:J58)</f>
        <v/>
      </c>
      <c r="G58" s="17">
        <f>SUMIFS($D$20:D57,$A$20:A57,"&gt;="&amp;(A58-$B$13))/$B$13</f>
        <v/>
      </c>
      <c r="H58" s="17">
        <f>G58*(1-$B$15)</f>
        <v/>
      </c>
      <c r="I58" s="17">
        <f>H58*$B$14/52*$B$13</f>
        <v/>
      </c>
      <c r="J58" s="17">
        <f>IF($B$17&gt;0,H58,0)</f>
        <v/>
      </c>
      <c r="K58" s="17">
        <f>E58-SUM($H$20:H58)</f>
        <v/>
      </c>
      <c r="L58">
        <f>IF(F58&lt;$B$9,"Yes","No")</f>
        <v/>
      </c>
    </row>
    <row r="59">
      <c r="A59" t="n">
        <v>40</v>
      </c>
      <c r="B59" s="37">
        <f>MAX(0,MIN($B$11,$B$8-SUM($B$20:B58)))</f>
        <v/>
      </c>
      <c r="C59" s="37">
        <f>MIN(IF(A59&lt;=$B$12,0,N(OFFSET(B59,-$B$12,0))*$B$16),IF($B$9=0,0,F58/$B$9))</f>
        <v/>
      </c>
      <c r="D59" s="17">
        <f>C59*$B$9</f>
        <v/>
      </c>
      <c r="E59" s="17">
        <f>E58+D59</f>
        <v/>
      </c>
      <c r="F59" s="17">
        <f>$B$10-E59+SUM($J$20:J59)</f>
        <v/>
      </c>
      <c r="G59" s="17">
        <f>SUMIFS($D$20:D58,$A$20:A58,"&gt;="&amp;(A59-$B$13))/$B$13</f>
        <v/>
      </c>
      <c r="H59" s="17">
        <f>G59*(1-$B$15)</f>
        <v/>
      </c>
      <c r="I59" s="17">
        <f>H59*$B$14/52*$B$13</f>
        <v/>
      </c>
      <c r="J59" s="17">
        <f>IF($B$17&gt;0,H59,0)</f>
        <v/>
      </c>
      <c r="K59" s="17">
        <f>E59-SUM($H$20:H59)</f>
        <v/>
      </c>
      <c r="L59">
        <f>IF(F59&lt;$B$9,"Yes","No")</f>
        <v/>
      </c>
    </row>
    <row r="60">
      <c r="A60" t="n">
        <v>41</v>
      </c>
      <c r="B60" s="37">
        <f>MAX(0,MIN($B$11,$B$8-SUM($B$20:B59)))</f>
        <v/>
      </c>
      <c r="C60" s="37">
        <f>MIN(IF(A60&lt;=$B$12,0,N(OFFSET(B60,-$B$12,0))*$B$16),IF($B$9=0,0,F59/$B$9))</f>
        <v/>
      </c>
      <c r="D60" s="17">
        <f>C60*$B$9</f>
        <v/>
      </c>
      <c r="E60" s="17">
        <f>E59+D60</f>
        <v/>
      </c>
      <c r="F60" s="17">
        <f>$B$10-E60+SUM($J$20:J60)</f>
        <v/>
      </c>
      <c r="G60" s="17">
        <f>SUMIFS($D$20:D59,$A$20:A59,"&gt;="&amp;(A60-$B$13))/$B$13</f>
        <v/>
      </c>
      <c r="H60" s="17">
        <f>G60*(1-$B$15)</f>
        <v/>
      </c>
      <c r="I60" s="17">
        <f>H60*$B$14/52*$B$13</f>
        <v/>
      </c>
      <c r="J60" s="17">
        <f>IF($B$17&gt;0,H60,0)</f>
        <v/>
      </c>
      <c r="K60" s="17">
        <f>E60-SUM($H$20:H60)</f>
        <v/>
      </c>
      <c r="L60">
        <f>IF(F60&lt;$B$9,"Yes","No")</f>
        <v/>
      </c>
    </row>
    <row r="61">
      <c r="A61" t="n">
        <v>42</v>
      </c>
      <c r="B61" s="37">
        <f>MAX(0,MIN($B$11,$B$8-SUM($B$20:B60)))</f>
        <v/>
      </c>
      <c r="C61" s="37">
        <f>MIN(IF(A61&lt;=$B$12,0,N(OFFSET(B61,-$B$12,0))*$B$16),IF($B$9=0,0,F60/$B$9))</f>
        <v/>
      </c>
      <c r="D61" s="17">
        <f>C61*$B$9</f>
        <v/>
      </c>
      <c r="E61" s="17">
        <f>E60+D61</f>
        <v/>
      </c>
      <c r="F61" s="17">
        <f>$B$10-E61+SUM($J$20:J61)</f>
        <v/>
      </c>
      <c r="G61" s="17">
        <f>SUMIFS($D$20:D60,$A$20:A60,"&gt;="&amp;(A61-$B$13))/$B$13</f>
        <v/>
      </c>
      <c r="H61" s="17">
        <f>G61*(1-$B$15)</f>
        <v/>
      </c>
      <c r="I61" s="17">
        <f>H61*$B$14/52*$B$13</f>
        <v/>
      </c>
      <c r="J61" s="17">
        <f>IF($B$17&gt;0,H61,0)</f>
        <v/>
      </c>
      <c r="K61" s="17">
        <f>E61-SUM($H$20:H61)</f>
        <v/>
      </c>
      <c r="L61">
        <f>IF(F61&lt;$B$9,"Yes","No")</f>
        <v/>
      </c>
    </row>
    <row r="62">
      <c r="A62" t="n">
        <v>43</v>
      </c>
      <c r="B62" s="37">
        <f>MAX(0,MIN($B$11,$B$8-SUM($B$20:B61)))</f>
        <v/>
      </c>
      <c r="C62" s="37">
        <f>MIN(IF(A62&lt;=$B$12,0,N(OFFSET(B62,-$B$12,0))*$B$16),IF($B$9=0,0,F61/$B$9))</f>
        <v/>
      </c>
      <c r="D62" s="17">
        <f>C62*$B$9</f>
        <v/>
      </c>
      <c r="E62" s="17">
        <f>E61+D62</f>
        <v/>
      </c>
      <c r="F62" s="17">
        <f>$B$10-E62+SUM($J$20:J62)</f>
        <v/>
      </c>
      <c r="G62" s="17">
        <f>SUMIFS($D$20:D61,$A$20:A61,"&gt;="&amp;(A62-$B$13))/$B$13</f>
        <v/>
      </c>
      <c r="H62" s="17">
        <f>G62*(1-$B$15)</f>
        <v/>
      </c>
      <c r="I62" s="17">
        <f>H62*$B$14/52*$B$13</f>
        <v/>
      </c>
      <c r="J62" s="17">
        <f>IF($B$17&gt;0,H62,0)</f>
        <v/>
      </c>
      <c r="K62" s="17">
        <f>E62-SUM($H$20:H62)</f>
        <v/>
      </c>
      <c r="L62">
        <f>IF(F62&lt;$B$9,"Yes","No")</f>
        <v/>
      </c>
    </row>
    <row r="63">
      <c r="A63" t="n">
        <v>44</v>
      </c>
      <c r="B63" s="37">
        <f>MAX(0,MIN($B$11,$B$8-SUM($B$20:B62)))</f>
        <v/>
      </c>
      <c r="C63" s="37">
        <f>MIN(IF(A63&lt;=$B$12,0,N(OFFSET(B63,-$B$12,0))*$B$16),IF($B$9=0,0,F62/$B$9))</f>
        <v/>
      </c>
      <c r="D63" s="17">
        <f>C63*$B$9</f>
        <v/>
      </c>
      <c r="E63" s="17">
        <f>E62+D63</f>
        <v/>
      </c>
      <c r="F63" s="17">
        <f>$B$10-E63+SUM($J$20:J63)</f>
        <v/>
      </c>
      <c r="G63" s="17">
        <f>SUMIFS($D$20:D62,$A$20:A62,"&gt;="&amp;(A63-$B$13))/$B$13</f>
        <v/>
      </c>
      <c r="H63" s="17">
        <f>G63*(1-$B$15)</f>
        <v/>
      </c>
      <c r="I63" s="17">
        <f>H63*$B$14/52*$B$13</f>
        <v/>
      </c>
      <c r="J63" s="17">
        <f>IF($B$17&gt;0,H63,0)</f>
        <v/>
      </c>
      <c r="K63" s="17">
        <f>E63-SUM($H$20:H63)</f>
        <v/>
      </c>
      <c r="L63">
        <f>IF(F63&lt;$B$9,"Yes","No")</f>
        <v/>
      </c>
    </row>
    <row r="64">
      <c r="A64" t="n">
        <v>45</v>
      </c>
      <c r="B64" s="37">
        <f>MAX(0,MIN($B$11,$B$8-SUM($B$20:B63)))</f>
        <v/>
      </c>
      <c r="C64" s="37">
        <f>MIN(IF(A64&lt;=$B$12,0,N(OFFSET(B64,-$B$12,0))*$B$16),IF($B$9=0,0,F63/$B$9))</f>
        <v/>
      </c>
      <c r="D64" s="17">
        <f>C64*$B$9</f>
        <v/>
      </c>
      <c r="E64" s="17">
        <f>E63+D64</f>
        <v/>
      </c>
      <c r="F64" s="17">
        <f>$B$10-E64+SUM($J$20:J64)</f>
        <v/>
      </c>
      <c r="G64" s="17">
        <f>SUMIFS($D$20:D63,$A$20:A63,"&gt;="&amp;(A64-$B$13))/$B$13</f>
        <v/>
      </c>
      <c r="H64" s="17">
        <f>G64*(1-$B$15)</f>
        <v/>
      </c>
      <c r="I64" s="17">
        <f>H64*$B$14/52*$B$13</f>
        <v/>
      </c>
      <c r="J64" s="17">
        <f>IF($B$17&gt;0,H64,0)</f>
        <v/>
      </c>
      <c r="K64" s="17">
        <f>E64-SUM($H$20:H64)</f>
        <v/>
      </c>
      <c r="L64">
        <f>IF(F64&lt;$B$9,"Yes","No")</f>
        <v/>
      </c>
    </row>
    <row r="65">
      <c r="A65" t="n">
        <v>46</v>
      </c>
      <c r="B65" s="37">
        <f>MAX(0,MIN($B$11,$B$8-SUM($B$20:B64)))</f>
        <v/>
      </c>
      <c r="C65" s="37">
        <f>MIN(IF(A65&lt;=$B$12,0,N(OFFSET(B65,-$B$12,0))*$B$16),IF($B$9=0,0,F64/$B$9))</f>
        <v/>
      </c>
      <c r="D65" s="17">
        <f>C65*$B$9</f>
        <v/>
      </c>
      <c r="E65" s="17">
        <f>E64+D65</f>
        <v/>
      </c>
      <c r="F65" s="17">
        <f>$B$10-E65+SUM($J$20:J65)</f>
        <v/>
      </c>
      <c r="G65" s="17">
        <f>SUMIFS($D$20:D64,$A$20:A64,"&gt;="&amp;(A65-$B$13))/$B$13</f>
        <v/>
      </c>
      <c r="H65" s="17">
        <f>G65*(1-$B$15)</f>
        <v/>
      </c>
      <c r="I65" s="17">
        <f>H65*$B$14/52*$B$13</f>
        <v/>
      </c>
      <c r="J65" s="17">
        <f>IF($B$17&gt;0,H65,0)</f>
        <v/>
      </c>
      <c r="K65" s="17">
        <f>E65-SUM($H$20:H65)</f>
        <v/>
      </c>
      <c r="L65">
        <f>IF(F65&lt;$B$9,"Yes","No")</f>
        <v/>
      </c>
    </row>
    <row r="66">
      <c r="A66" t="n">
        <v>47</v>
      </c>
      <c r="B66" s="37">
        <f>MAX(0,MIN($B$11,$B$8-SUM($B$20:B65)))</f>
        <v/>
      </c>
      <c r="C66" s="37">
        <f>MIN(IF(A66&lt;=$B$12,0,N(OFFSET(B66,-$B$12,0))*$B$16),IF($B$9=0,0,F65/$B$9))</f>
        <v/>
      </c>
      <c r="D66" s="17">
        <f>C66*$B$9</f>
        <v/>
      </c>
      <c r="E66" s="17">
        <f>E65+D66</f>
        <v/>
      </c>
      <c r="F66" s="17">
        <f>$B$10-E66+SUM($J$20:J66)</f>
        <v/>
      </c>
      <c r="G66" s="17">
        <f>SUMIFS($D$20:D65,$A$20:A65,"&gt;="&amp;(A66-$B$13))/$B$13</f>
        <v/>
      </c>
      <c r="H66" s="17">
        <f>G66*(1-$B$15)</f>
        <v/>
      </c>
      <c r="I66" s="17">
        <f>H66*$B$14/52*$B$13</f>
        <v/>
      </c>
      <c r="J66" s="17">
        <f>IF($B$17&gt;0,H66,0)</f>
        <v/>
      </c>
      <c r="K66" s="17">
        <f>E66-SUM($H$20:H66)</f>
        <v/>
      </c>
      <c r="L66">
        <f>IF(F66&lt;$B$9,"Yes","No")</f>
        <v/>
      </c>
    </row>
    <row r="67">
      <c r="A67" t="n">
        <v>48</v>
      </c>
      <c r="B67" s="37">
        <f>MAX(0,MIN($B$11,$B$8-SUM($B$20:B66)))</f>
        <v/>
      </c>
      <c r="C67" s="37">
        <f>MIN(IF(A67&lt;=$B$12,0,N(OFFSET(B67,-$B$12,0))*$B$16),IF($B$9=0,0,F66/$B$9))</f>
        <v/>
      </c>
      <c r="D67" s="17">
        <f>C67*$B$9</f>
        <v/>
      </c>
      <c r="E67" s="17">
        <f>E66+D67</f>
        <v/>
      </c>
      <c r="F67" s="17">
        <f>$B$10-E67+SUM($J$20:J67)</f>
        <v/>
      </c>
      <c r="G67" s="17">
        <f>SUMIFS($D$20:D66,$A$20:A66,"&gt;="&amp;(A67-$B$13))/$B$13</f>
        <v/>
      </c>
      <c r="H67" s="17">
        <f>G67*(1-$B$15)</f>
        <v/>
      </c>
      <c r="I67" s="17">
        <f>H67*$B$14/52*$B$13</f>
        <v/>
      </c>
      <c r="J67" s="17">
        <f>IF($B$17&gt;0,H67,0)</f>
        <v/>
      </c>
      <c r="K67" s="17">
        <f>E67-SUM($H$20:H67)</f>
        <v/>
      </c>
      <c r="L67">
        <f>IF(F67&lt;$B$9,"Yes","No")</f>
        <v/>
      </c>
    </row>
    <row r="68">
      <c r="A68" t="n">
        <v>49</v>
      </c>
      <c r="B68" s="37">
        <f>MAX(0,MIN($B$11,$B$8-SUM($B$20:B67)))</f>
        <v/>
      </c>
      <c r="C68" s="37">
        <f>MIN(IF(A68&lt;=$B$12,0,N(OFFSET(B68,-$B$12,0))*$B$16),IF($B$9=0,0,F67/$B$9))</f>
        <v/>
      </c>
      <c r="D68" s="17">
        <f>C68*$B$9</f>
        <v/>
      </c>
      <c r="E68" s="17">
        <f>E67+D68</f>
        <v/>
      </c>
      <c r="F68" s="17">
        <f>$B$10-E68+SUM($J$20:J68)</f>
        <v/>
      </c>
      <c r="G68" s="17">
        <f>SUMIFS($D$20:D67,$A$20:A67,"&gt;="&amp;(A68-$B$13))/$B$13</f>
        <v/>
      </c>
      <c r="H68" s="17">
        <f>G68*(1-$B$15)</f>
        <v/>
      </c>
      <c r="I68" s="17">
        <f>H68*$B$14/52*$B$13</f>
        <v/>
      </c>
      <c r="J68" s="17">
        <f>IF($B$17&gt;0,H68,0)</f>
        <v/>
      </c>
      <c r="K68" s="17">
        <f>E68-SUM($H$20:H68)</f>
        <v/>
      </c>
      <c r="L68">
        <f>IF(F68&lt;$B$9,"Yes","No")</f>
        <v/>
      </c>
    </row>
    <row r="69">
      <c r="A69" t="n">
        <v>50</v>
      </c>
      <c r="B69" s="37">
        <f>MAX(0,MIN($B$11,$B$8-SUM($B$20:B68)))</f>
        <v/>
      </c>
      <c r="C69" s="37">
        <f>MIN(IF(A69&lt;=$B$12,0,N(OFFSET(B69,-$B$12,0))*$B$16),IF($B$9=0,0,F68/$B$9))</f>
        <v/>
      </c>
      <c r="D69" s="17">
        <f>C69*$B$9</f>
        <v/>
      </c>
      <c r="E69" s="17">
        <f>E68+D69</f>
        <v/>
      </c>
      <c r="F69" s="17">
        <f>$B$10-E69+SUM($J$20:J69)</f>
        <v/>
      </c>
      <c r="G69" s="17">
        <f>SUMIFS($D$20:D68,$A$20:A68,"&gt;="&amp;(A69-$B$13))/$B$13</f>
        <v/>
      </c>
      <c r="H69" s="17">
        <f>G69*(1-$B$15)</f>
        <v/>
      </c>
      <c r="I69" s="17">
        <f>H69*$B$14/52*$B$13</f>
        <v/>
      </c>
      <c r="J69" s="17">
        <f>IF($B$17&gt;0,H69,0)</f>
        <v/>
      </c>
      <c r="K69" s="17">
        <f>E69-SUM($H$20:H69)</f>
        <v/>
      </c>
      <c r="L69">
        <f>IF(F69&lt;$B$9,"Yes","No")</f>
        <v/>
      </c>
    </row>
    <row r="70">
      <c r="A70" t="n">
        <v>51</v>
      </c>
      <c r="B70" s="37">
        <f>MAX(0,MIN($B$11,$B$8-SUM($B$20:B69)))</f>
        <v/>
      </c>
      <c r="C70" s="37">
        <f>MIN(IF(A70&lt;=$B$12,0,N(OFFSET(B70,-$B$12,0))*$B$16),IF($B$9=0,0,F69/$B$9))</f>
        <v/>
      </c>
      <c r="D70" s="17">
        <f>C70*$B$9</f>
        <v/>
      </c>
      <c r="E70" s="17">
        <f>E69+D70</f>
        <v/>
      </c>
      <c r="F70" s="17">
        <f>$B$10-E70+SUM($J$20:J70)</f>
        <v/>
      </c>
      <c r="G70" s="17">
        <f>SUMIFS($D$20:D69,$A$20:A69,"&gt;="&amp;(A70-$B$13))/$B$13</f>
        <v/>
      </c>
      <c r="H70" s="17">
        <f>G70*(1-$B$15)</f>
        <v/>
      </c>
      <c r="I70" s="17">
        <f>H70*$B$14/52*$B$13</f>
        <v/>
      </c>
      <c r="J70" s="17">
        <f>IF($B$17&gt;0,H70,0)</f>
        <v/>
      </c>
      <c r="K70" s="17">
        <f>E70-SUM($H$20:H70)</f>
        <v/>
      </c>
      <c r="L70">
        <f>IF(F70&lt;$B$9,"Yes","No")</f>
        <v/>
      </c>
    </row>
    <row r="71">
      <c r="A71" t="n">
        <v>52</v>
      </c>
      <c r="B71" s="37">
        <f>MAX(0,MIN($B$11,$B$8-SUM($B$20:B70)))</f>
        <v/>
      </c>
      <c r="C71" s="37">
        <f>MIN(IF(A71&lt;=$B$12,0,N(OFFSET(B71,-$B$12,0))*$B$16),IF($B$9=0,0,F70/$B$9))</f>
        <v/>
      </c>
      <c r="D71" s="17">
        <f>C71*$B$9</f>
        <v/>
      </c>
      <c r="E71" s="17">
        <f>E70+D71</f>
        <v/>
      </c>
      <c r="F71" s="17">
        <f>$B$10-E71+SUM($J$20:J71)</f>
        <v/>
      </c>
      <c r="G71" s="17">
        <f>SUMIFS($D$20:D70,$A$20:A70,"&gt;="&amp;(A71-$B$13))/$B$13</f>
        <v/>
      </c>
      <c r="H71" s="17">
        <f>G71*(1-$B$15)</f>
        <v/>
      </c>
      <c r="I71" s="17">
        <f>H71*$B$14/52*$B$13</f>
        <v/>
      </c>
      <c r="J71" s="17">
        <f>IF($B$17&gt;0,H71,0)</f>
        <v/>
      </c>
      <c r="K71" s="17">
        <f>E71-SUM($H$20:H71)</f>
        <v/>
      </c>
      <c r="L71">
        <f>IF(F71&lt;$B$9,"Yes","No")</f>
        <v/>
      </c>
    </row>
    <row r="72">
      <c r="A72" t="n">
        <v>53</v>
      </c>
      <c r="B72" s="37">
        <f>MAX(0,MIN($B$11,$B$8-SUM($B$20:B71)))</f>
        <v/>
      </c>
      <c r="C72" s="37">
        <f>MIN(IF(A72&lt;=$B$12,0,N(OFFSET(B72,-$B$12,0))*$B$16),IF($B$9=0,0,F71/$B$9))</f>
        <v/>
      </c>
      <c r="D72" s="17">
        <f>C72*$B$9</f>
        <v/>
      </c>
      <c r="E72" s="17">
        <f>E71+D72</f>
        <v/>
      </c>
      <c r="F72" s="17">
        <f>$B$10-E72+SUM($J$20:J72)</f>
        <v/>
      </c>
      <c r="G72" s="17">
        <f>SUMIFS($D$20:D71,$A$20:A71,"&gt;="&amp;(A72-$B$13))/$B$13</f>
        <v/>
      </c>
      <c r="H72" s="17">
        <f>G72*(1-$B$15)</f>
        <v/>
      </c>
      <c r="I72" s="17">
        <f>H72*$B$14/52*$B$13</f>
        <v/>
      </c>
      <c r="J72" s="17">
        <f>IF($B$17&gt;0,H72,0)</f>
        <v/>
      </c>
      <c r="K72" s="17">
        <f>E72-SUM($H$20:H72)</f>
        <v/>
      </c>
      <c r="L72">
        <f>IF(F72&lt;$B$9,"Yes","No")</f>
        <v/>
      </c>
    </row>
    <row r="73">
      <c r="A73" t="n">
        <v>54</v>
      </c>
      <c r="B73" s="37">
        <f>MAX(0,MIN($B$11,$B$8-SUM($B$20:B72)))</f>
        <v/>
      </c>
      <c r="C73" s="37">
        <f>MIN(IF(A73&lt;=$B$12,0,N(OFFSET(B73,-$B$12,0))*$B$16),IF($B$9=0,0,F72/$B$9))</f>
        <v/>
      </c>
      <c r="D73" s="17">
        <f>C73*$B$9</f>
        <v/>
      </c>
      <c r="E73" s="17">
        <f>E72+D73</f>
        <v/>
      </c>
      <c r="F73" s="17">
        <f>$B$10-E73+SUM($J$20:J73)</f>
        <v/>
      </c>
      <c r="G73" s="17">
        <f>SUMIFS($D$20:D72,$A$20:A72,"&gt;="&amp;(A73-$B$13))/$B$13</f>
        <v/>
      </c>
      <c r="H73" s="17">
        <f>G73*(1-$B$15)</f>
        <v/>
      </c>
      <c r="I73" s="17">
        <f>H73*$B$14/52*$B$13</f>
        <v/>
      </c>
      <c r="J73" s="17">
        <f>IF($B$17&gt;0,H73,0)</f>
        <v/>
      </c>
      <c r="K73" s="17">
        <f>E73-SUM($H$20:H73)</f>
        <v/>
      </c>
      <c r="L73">
        <f>IF(F73&lt;$B$9,"Yes","No")</f>
        <v/>
      </c>
    </row>
    <row r="74">
      <c r="A74" t="n">
        <v>55</v>
      </c>
      <c r="B74" s="37">
        <f>MAX(0,MIN($B$11,$B$8-SUM($B$20:B73)))</f>
        <v/>
      </c>
      <c r="C74" s="37">
        <f>MIN(IF(A74&lt;=$B$12,0,N(OFFSET(B74,-$B$12,0))*$B$16),IF($B$9=0,0,F73/$B$9))</f>
        <v/>
      </c>
      <c r="D74" s="17">
        <f>C74*$B$9</f>
        <v/>
      </c>
      <c r="E74" s="17">
        <f>E73+D74</f>
        <v/>
      </c>
      <c r="F74" s="17">
        <f>$B$10-E74+SUM($J$20:J74)</f>
        <v/>
      </c>
      <c r="G74" s="17">
        <f>SUMIFS($D$20:D73,$A$20:A73,"&gt;="&amp;(A74-$B$13))/$B$13</f>
        <v/>
      </c>
      <c r="H74" s="17">
        <f>G74*(1-$B$15)</f>
        <v/>
      </c>
      <c r="I74" s="17">
        <f>H74*$B$14/52*$B$13</f>
        <v/>
      </c>
      <c r="J74" s="17">
        <f>IF($B$17&gt;0,H74,0)</f>
        <v/>
      </c>
      <c r="K74" s="17">
        <f>E74-SUM($H$20:H74)</f>
        <v/>
      </c>
      <c r="L74">
        <f>IF(F74&lt;$B$9,"Yes","No")</f>
        <v/>
      </c>
    </row>
    <row r="75">
      <c r="A75" t="n">
        <v>56</v>
      </c>
      <c r="B75" s="37">
        <f>MAX(0,MIN($B$11,$B$8-SUM($B$20:B74)))</f>
        <v/>
      </c>
      <c r="C75" s="37">
        <f>MIN(IF(A75&lt;=$B$12,0,N(OFFSET(B75,-$B$12,0))*$B$16),IF($B$9=0,0,F74/$B$9))</f>
        <v/>
      </c>
      <c r="D75" s="17">
        <f>C75*$B$9</f>
        <v/>
      </c>
      <c r="E75" s="17">
        <f>E74+D75</f>
        <v/>
      </c>
      <c r="F75" s="17">
        <f>$B$10-E75+SUM($J$20:J75)</f>
        <v/>
      </c>
      <c r="G75" s="17">
        <f>SUMIFS($D$20:D74,$A$20:A74,"&gt;="&amp;(A75-$B$13))/$B$13</f>
        <v/>
      </c>
      <c r="H75" s="17">
        <f>G75*(1-$B$15)</f>
        <v/>
      </c>
      <c r="I75" s="17">
        <f>H75*$B$14/52*$B$13</f>
        <v/>
      </c>
      <c r="J75" s="17">
        <f>IF($B$17&gt;0,H75,0)</f>
        <v/>
      </c>
      <c r="K75" s="17">
        <f>E75-SUM($H$20:H75)</f>
        <v/>
      </c>
      <c r="L75">
        <f>IF(F75&lt;$B$9,"Yes","No")</f>
        <v/>
      </c>
    </row>
    <row r="76">
      <c r="A76" t="n">
        <v>57</v>
      </c>
      <c r="B76" s="37">
        <f>MAX(0,MIN($B$11,$B$8-SUM($B$20:B75)))</f>
        <v/>
      </c>
      <c r="C76" s="37">
        <f>MIN(IF(A76&lt;=$B$12,0,N(OFFSET(B76,-$B$12,0))*$B$16),IF($B$9=0,0,F75/$B$9))</f>
        <v/>
      </c>
      <c r="D76" s="17">
        <f>C76*$B$9</f>
        <v/>
      </c>
      <c r="E76" s="17">
        <f>E75+D76</f>
        <v/>
      </c>
      <c r="F76" s="17">
        <f>$B$10-E76+SUM($J$20:J76)</f>
        <v/>
      </c>
      <c r="G76" s="17">
        <f>SUMIFS($D$20:D75,$A$20:A75,"&gt;="&amp;(A76-$B$13))/$B$13</f>
        <v/>
      </c>
      <c r="H76" s="17">
        <f>G76*(1-$B$15)</f>
        <v/>
      </c>
      <c r="I76" s="17">
        <f>H76*$B$14/52*$B$13</f>
        <v/>
      </c>
      <c r="J76" s="17">
        <f>IF($B$17&gt;0,H76,0)</f>
        <v/>
      </c>
      <c r="K76" s="17">
        <f>E76-SUM($H$20:H76)</f>
        <v/>
      </c>
      <c r="L76">
        <f>IF(F76&lt;$B$9,"Yes","No")</f>
        <v/>
      </c>
    </row>
    <row r="77">
      <c r="A77" t="n">
        <v>58</v>
      </c>
      <c r="B77" s="37">
        <f>MAX(0,MIN($B$11,$B$8-SUM($B$20:B76)))</f>
        <v/>
      </c>
      <c r="C77" s="37">
        <f>MIN(IF(A77&lt;=$B$12,0,N(OFFSET(B77,-$B$12,0))*$B$16),IF($B$9=0,0,F76/$B$9))</f>
        <v/>
      </c>
      <c r="D77" s="17">
        <f>C77*$B$9</f>
        <v/>
      </c>
      <c r="E77" s="17">
        <f>E76+D77</f>
        <v/>
      </c>
      <c r="F77" s="17">
        <f>$B$10-E77+SUM($J$20:J77)</f>
        <v/>
      </c>
      <c r="G77" s="17">
        <f>SUMIFS($D$20:D76,$A$20:A76,"&gt;="&amp;(A77-$B$13))/$B$13</f>
        <v/>
      </c>
      <c r="H77" s="17">
        <f>G77*(1-$B$15)</f>
        <v/>
      </c>
      <c r="I77" s="17">
        <f>H77*$B$14/52*$B$13</f>
        <v/>
      </c>
      <c r="J77" s="17">
        <f>IF($B$17&gt;0,H77,0)</f>
        <v/>
      </c>
      <c r="K77" s="17">
        <f>E77-SUM($H$20:H77)</f>
        <v/>
      </c>
      <c r="L77">
        <f>IF(F77&lt;$B$9,"Yes","No")</f>
        <v/>
      </c>
    </row>
    <row r="78">
      <c r="A78" t="n">
        <v>59</v>
      </c>
      <c r="B78" s="37">
        <f>MAX(0,MIN($B$11,$B$8-SUM($B$20:B77)))</f>
        <v/>
      </c>
      <c r="C78" s="37">
        <f>MIN(IF(A78&lt;=$B$12,0,N(OFFSET(B78,-$B$12,0))*$B$16),IF($B$9=0,0,F77/$B$9))</f>
        <v/>
      </c>
      <c r="D78" s="17">
        <f>C78*$B$9</f>
        <v/>
      </c>
      <c r="E78" s="17">
        <f>E77+D78</f>
        <v/>
      </c>
      <c r="F78" s="17">
        <f>$B$10-E78+SUM($J$20:J78)</f>
        <v/>
      </c>
      <c r="G78" s="17">
        <f>SUMIFS($D$20:D77,$A$20:A77,"&gt;="&amp;(A78-$B$13))/$B$13</f>
        <v/>
      </c>
      <c r="H78" s="17">
        <f>G78*(1-$B$15)</f>
        <v/>
      </c>
      <c r="I78" s="17">
        <f>H78*$B$14/52*$B$13</f>
        <v/>
      </c>
      <c r="J78" s="17">
        <f>IF($B$17&gt;0,H78,0)</f>
        <v/>
      </c>
      <c r="K78" s="17">
        <f>E78-SUM($H$20:H78)</f>
        <v/>
      </c>
      <c r="L78">
        <f>IF(F78&lt;$B$9,"Yes","No")</f>
        <v/>
      </c>
    </row>
    <row r="79">
      <c r="A79" t="n">
        <v>60</v>
      </c>
      <c r="B79" s="37">
        <f>MAX(0,MIN($B$11,$B$8-SUM($B$20:B78)))</f>
        <v/>
      </c>
      <c r="C79" s="37">
        <f>MIN(IF(A79&lt;=$B$12,0,N(OFFSET(B79,-$B$12,0))*$B$16),IF($B$9=0,0,F78/$B$9))</f>
        <v/>
      </c>
      <c r="D79" s="17">
        <f>C79*$B$9</f>
        <v/>
      </c>
      <c r="E79" s="17">
        <f>E78+D79</f>
        <v/>
      </c>
      <c r="F79" s="17">
        <f>$B$10-E79+SUM($J$20:J79)</f>
        <v/>
      </c>
      <c r="G79" s="17">
        <f>SUMIFS($D$20:D78,$A$20:A78,"&gt;="&amp;(A79-$B$13))/$B$13</f>
        <v/>
      </c>
      <c r="H79" s="17">
        <f>G79*(1-$B$15)</f>
        <v/>
      </c>
      <c r="I79" s="17">
        <f>H79*$B$14/52*$B$13</f>
        <v/>
      </c>
      <c r="J79" s="17">
        <f>IF($B$17&gt;0,H79,0)</f>
        <v/>
      </c>
      <c r="K79" s="17">
        <f>E79-SUM($H$20:H79)</f>
        <v/>
      </c>
      <c r="L79">
        <f>IF(F79&lt;$B$9,"Yes","No")</f>
        <v/>
      </c>
    </row>
    <row r="80">
      <c r="A80" t="n">
        <v>61</v>
      </c>
      <c r="B80" s="37">
        <f>MAX(0,MIN($B$11,$B$8-SUM($B$20:B79)))</f>
        <v/>
      </c>
      <c r="C80" s="37">
        <f>MIN(IF(A80&lt;=$B$12,0,N(OFFSET(B80,-$B$12,0))*$B$16),IF($B$9=0,0,F79/$B$9))</f>
        <v/>
      </c>
      <c r="D80" s="17">
        <f>C80*$B$9</f>
        <v/>
      </c>
      <c r="E80" s="17">
        <f>E79+D80</f>
        <v/>
      </c>
      <c r="F80" s="17">
        <f>$B$10-E80+SUM($J$20:J80)</f>
        <v/>
      </c>
      <c r="G80" s="17">
        <f>SUMIFS($D$20:D79,$A$20:A79,"&gt;="&amp;(A80-$B$13))/$B$13</f>
        <v/>
      </c>
      <c r="H80" s="17">
        <f>G80*(1-$B$15)</f>
        <v/>
      </c>
      <c r="I80" s="17">
        <f>H80*$B$14/52*$B$13</f>
        <v/>
      </c>
      <c r="J80" s="17">
        <f>IF($B$17&gt;0,H80,0)</f>
        <v/>
      </c>
      <c r="K80" s="17">
        <f>E80-SUM($H$20:H80)</f>
        <v/>
      </c>
      <c r="L80">
        <f>IF(F80&lt;$B$9,"Yes","No")</f>
        <v/>
      </c>
    </row>
    <row r="81">
      <c r="A81" t="n">
        <v>62</v>
      </c>
      <c r="B81" s="37">
        <f>MAX(0,MIN($B$11,$B$8-SUM($B$20:B80)))</f>
        <v/>
      </c>
      <c r="C81" s="37">
        <f>MIN(IF(A81&lt;=$B$12,0,N(OFFSET(B81,-$B$12,0))*$B$16),IF($B$9=0,0,F80/$B$9))</f>
        <v/>
      </c>
      <c r="D81" s="17">
        <f>C81*$B$9</f>
        <v/>
      </c>
      <c r="E81" s="17">
        <f>E80+D81</f>
        <v/>
      </c>
      <c r="F81" s="17">
        <f>$B$10-E81+SUM($J$20:J81)</f>
        <v/>
      </c>
      <c r="G81" s="17">
        <f>SUMIFS($D$20:D80,$A$20:A80,"&gt;="&amp;(A81-$B$13))/$B$13</f>
        <v/>
      </c>
      <c r="H81" s="17">
        <f>G81*(1-$B$15)</f>
        <v/>
      </c>
      <c r="I81" s="17">
        <f>H81*$B$14/52*$B$13</f>
        <v/>
      </c>
      <c r="J81" s="17">
        <f>IF($B$17&gt;0,H81,0)</f>
        <v/>
      </c>
      <c r="K81" s="17">
        <f>E81-SUM($H$20:H81)</f>
        <v/>
      </c>
      <c r="L81">
        <f>IF(F81&lt;$B$9,"Yes","No")</f>
        <v/>
      </c>
    </row>
    <row r="82">
      <c r="A82" t="n">
        <v>63</v>
      </c>
      <c r="B82" s="37">
        <f>MAX(0,MIN($B$11,$B$8-SUM($B$20:B81)))</f>
        <v/>
      </c>
      <c r="C82" s="37">
        <f>MIN(IF(A82&lt;=$B$12,0,N(OFFSET(B82,-$B$12,0))*$B$16),IF($B$9=0,0,F81/$B$9))</f>
        <v/>
      </c>
      <c r="D82" s="17">
        <f>C82*$B$9</f>
        <v/>
      </c>
      <c r="E82" s="17">
        <f>E81+D82</f>
        <v/>
      </c>
      <c r="F82" s="17">
        <f>$B$10-E82+SUM($J$20:J82)</f>
        <v/>
      </c>
      <c r="G82" s="17">
        <f>SUMIFS($D$20:D81,$A$20:A81,"&gt;="&amp;(A82-$B$13))/$B$13</f>
        <v/>
      </c>
      <c r="H82" s="17">
        <f>G82*(1-$B$15)</f>
        <v/>
      </c>
      <c r="I82" s="17">
        <f>H82*$B$14/52*$B$13</f>
        <v/>
      </c>
      <c r="J82" s="17">
        <f>IF($B$17&gt;0,H82,0)</f>
        <v/>
      </c>
      <c r="K82" s="17">
        <f>E82-SUM($H$20:H82)</f>
        <v/>
      </c>
      <c r="L82">
        <f>IF(F82&lt;$B$9,"Yes","No")</f>
        <v/>
      </c>
    </row>
    <row r="83">
      <c r="A83" t="n">
        <v>64</v>
      </c>
      <c r="B83" s="37">
        <f>MAX(0,MIN($B$11,$B$8-SUM($B$20:B82)))</f>
        <v/>
      </c>
      <c r="C83" s="37">
        <f>MIN(IF(A83&lt;=$B$12,0,N(OFFSET(B83,-$B$12,0))*$B$16),IF($B$9=0,0,F82/$B$9))</f>
        <v/>
      </c>
      <c r="D83" s="17">
        <f>C83*$B$9</f>
        <v/>
      </c>
      <c r="E83" s="17">
        <f>E82+D83</f>
        <v/>
      </c>
      <c r="F83" s="17">
        <f>$B$10-E83+SUM($J$20:J83)</f>
        <v/>
      </c>
      <c r="G83" s="17">
        <f>SUMIFS($D$20:D82,$A$20:A82,"&gt;="&amp;(A83-$B$13))/$B$13</f>
        <v/>
      </c>
      <c r="H83" s="17">
        <f>G83*(1-$B$15)</f>
        <v/>
      </c>
      <c r="I83" s="17">
        <f>H83*$B$14/52*$B$13</f>
        <v/>
      </c>
      <c r="J83" s="17">
        <f>IF($B$17&gt;0,H83,0)</f>
        <v/>
      </c>
      <c r="K83" s="17">
        <f>E83-SUM($H$20:H83)</f>
        <v/>
      </c>
      <c r="L83">
        <f>IF(F83&lt;$B$9,"Yes","No")</f>
        <v/>
      </c>
    </row>
    <row r="84">
      <c r="A84" t="n">
        <v>65</v>
      </c>
      <c r="B84" s="37">
        <f>MAX(0,MIN($B$11,$B$8-SUM($B$20:B83)))</f>
        <v/>
      </c>
      <c r="C84" s="37">
        <f>MIN(IF(A84&lt;=$B$12,0,N(OFFSET(B84,-$B$12,0))*$B$16),IF($B$9=0,0,F83/$B$9))</f>
        <v/>
      </c>
      <c r="D84" s="17">
        <f>C84*$B$9</f>
        <v/>
      </c>
      <c r="E84" s="17">
        <f>E83+D84</f>
        <v/>
      </c>
      <c r="F84" s="17">
        <f>$B$10-E84+SUM($J$20:J84)</f>
        <v/>
      </c>
      <c r="G84" s="17">
        <f>SUMIFS($D$20:D83,$A$20:A83,"&gt;="&amp;(A84-$B$13))/$B$13</f>
        <v/>
      </c>
      <c r="H84" s="17">
        <f>G84*(1-$B$15)</f>
        <v/>
      </c>
      <c r="I84" s="17">
        <f>H84*$B$14/52*$B$13</f>
        <v/>
      </c>
      <c r="J84" s="17">
        <f>IF($B$17&gt;0,H84,0)</f>
        <v/>
      </c>
      <c r="K84" s="17">
        <f>E84-SUM($H$20:H84)</f>
        <v/>
      </c>
      <c r="L84">
        <f>IF(F84&lt;$B$9,"Yes","No")</f>
        <v/>
      </c>
    </row>
    <row r="85">
      <c r="A85" t="n">
        <v>66</v>
      </c>
      <c r="B85" s="37">
        <f>MAX(0,MIN($B$11,$B$8-SUM($B$20:B84)))</f>
        <v/>
      </c>
      <c r="C85" s="37">
        <f>MIN(IF(A85&lt;=$B$12,0,N(OFFSET(B85,-$B$12,0))*$B$16),IF($B$9=0,0,F84/$B$9))</f>
        <v/>
      </c>
      <c r="D85" s="17">
        <f>C85*$B$9</f>
        <v/>
      </c>
      <c r="E85" s="17">
        <f>E84+D85</f>
        <v/>
      </c>
      <c r="F85" s="17">
        <f>$B$10-E85+SUM($J$20:J85)</f>
        <v/>
      </c>
      <c r="G85" s="17">
        <f>SUMIFS($D$20:D84,$A$20:A84,"&gt;="&amp;(A85-$B$13))/$B$13</f>
        <v/>
      </c>
      <c r="H85" s="17">
        <f>G85*(1-$B$15)</f>
        <v/>
      </c>
      <c r="I85" s="17">
        <f>H85*$B$14/52*$B$13</f>
        <v/>
      </c>
      <c r="J85" s="17">
        <f>IF($B$17&gt;0,H85,0)</f>
        <v/>
      </c>
      <c r="K85" s="17">
        <f>E85-SUM($H$20:H85)</f>
        <v/>
      </c>
      <c r="L85">
        <f>IF(F85&lt;$B$9,"Yes","No")</f>
        <v/>
      </c>
    </row>
    <row r="86">
      <c r="A86" t="n">
        <v>67</v>
      </c>
      <c r="B86" s="37">
        <f>MAX(0,MIN($B$11,$B$8-SUM($B$20:B85)))</f>
        <v/>
      </c>
      <c r="C86" s="37">
        <f>MIN(IF(A86&lt;=$B$12,0,N(OFFSET(B86,-$B$12,0))*$B$16),IF($B$9=0,0,F85/$B$9))</f>
        <v/>
      </c>
      <c r="D86" s="17">
        <f>C86*$B$9</f>
        <v/>
      </c>
      <c r="E86" s="17">
        <f>E85+D86</f>
        <v/>
      </c>
      <c r="F86" s="17">
        <f>$B$10-E86+SUM($J$20:J86)</f>
        <v/>
      </c>
      <c r="G86" s="17">
        <f>SUMIFS($D$20:D85,$A$20:A85,"&gt;="&amp;(A86-$B$13))/$B$13</f>
        <v/>
      </c>
      <c r="H86" s="17">
        <f>G86*(1-$B$15)</f>
        <v/>
      </c>
      <c r="I86" s="17">
        <f>H86*$B$14/52*$B$13</f>
        <v/>
      </c>
      <c r="J86" s="17">
        <f>IF($B$17&gt;0,H86,0)</f>
        <v/>
      </c>
      <c r="K86" s="17">
        <f>E86-SUM($H$20:H86)</f>
        <v/>
      </c>
      <c r="L86">
        <f>IF(F86&lt;$B$9,"Yes","No")</f>
        <v/>
      </c>
    </row>
    <row r="87">
      <c r="A87" t="n">
        <v>68</v>
      </c>
      <c r="B87" s="37">
        <f>MAX(0,MIN($B$11,$B$8-SUM($B$20:B86)))</f>
        <v/>
      </c>
      <c r="C87" s="37">
        <f>MIN(IF(A87&lt;=$B$12,0,N(OFFSET(B87,-$B$12,0))*$B$16),IF($B$9=0,0,F86/$B$9))</f>
        <v/>
      </c>
      <c r="D87" s="17">
        <f>C87*$B$9</f>
        <v/>
      </c>
      <c r="E87" s="17">
        <f>E86+D87</f>
        <v/>
      </c>
      <c r="F87" s="17">
        <f>$B$10-E87+SUM($J$20:J87)</f>
        <v/>
      </c>
      <c r="G87" s="17">
        <f>SUMIFS($D$20:D86,$A$20:A86,"&gt;="&amp;(A87-$B$13))/$B$13</f>
        <v/>
      </c>
      <c r="H87" s="17">
        <f>G87*(1-$B$15)</f>
        <v/>
      </c>
      <c r="I87" s="17">
        <f>H87*$B$14/52*$B$13</f>
        <v/>
      </c>
      <c r="J87" s="17">
        <f>IF($B$17&gt;0,H87,0)</f>
        <v/>
      </c>
      <c r="K87" s="17">
        <f>E87-SUM($H$20:H87)</f>
        <v/>
      </c>
      <c r="L87">
        <f>IF(F87&lt;$B$9,"Yes","No")</f>
        <v/>
      </c>
    </row>
    <row r="88">
      <c r="A88" t="n">
        <v>69</v>
      </c>
      <c r="B88" s="37">
        <f>MAX(0,MIN($B$11,$B$8-SUM($B$20:B87)))</f>
        <v/>
      </c>
      <c r="C88" s="37">
        <f>MIN(IF(A88&lt;=$B$12,0,N(OFFSET(B88,-$B$12,0))*$B$16),IF($B$9=0,0,F87/$B$9))</f>
        <v/>
      </c>
      <c r="D88" s="17">
        <f>C88*$B$9</f>
        <v/>
      </c>
      <c r="E88" s="17">
        <f>E87+D88</f>
        <v/>
      </c>
      <c r="F88" s="17">
        <f>$B$10-E88+SUM($J$20:J88)</f>
        <v/>
      </c>
      <c r="G88" s="17">
        <f>SUMIFS($D$20:D87,$A$20:A87,"&gt;="&amp;(A88-$B$13))/$B$13</f>
        <v/>
      </c>
      <c r="H88" s="17">
        <f>G88*(1-$B$15)</f>
        <v/>
      </c>
      <c r="I88" s="17">
        <f>H88*$B$14/52*$B$13</f>
        <v/>
      </c>
      <c r="J88" s="17">
        <f>IF($B$17&gt;0,H88,0)</f>
        <v/>
      </c>
      <c r="K88" s="17">
        <f>E88-SUM($H$20:H88)</f>
        <v/>
      </c>
      <c r="L88">
        <f>IF(F88&lt;$B$9,"Yes","No")</f>
        <v/>
      </c>
    </row>
    <row r="89">
      <c r="A89" t="n">
        <v>70</v>
      </c>
      <c r="B89" s="37">
        <f>MAX(0,MIN($B$11,$B$8-SUM($B$20:B88)))</f>
        <v/>
      </c>
      <c r="C89" s="37">
        <f>MIN(IF(A89&lt;=$B$12,0,N(OFFSET(B89,-$B$12,0))*$B$16),IF($B$9=0,0,F88/$B$9))</f>
        <v/>
      </c>
      <c r="D89" s="17">
        <f>C89*$B$9</f>
        <v/>
      </c>
      <c r="E89" s="17">
        <f>E88+D89</f>
        <v/>
      </c>
      <c r="F89" s="17">
        <f>$B$10-E89+SUM($J$20:J89)</f>
        <v/>
      </c>
      <c r="G89" s="17">
        <f>SUMIFS($D$20:D88,$A$20:A88,"&gt;="&amp;(A89-$B$13))/$B$13</f>
        <v/>
      </c>
      <c r="H89" s="17">
        <f>G89*(1-$B$15)</f>
        <v/>
      </c>
      <c r="I89" s="17">
        <f>H89*$B$14/52*$B$13</f>
        <v/>
      </c>
      <c r="J89" s="17">
        <f>IF($B$17&gt;0,H89,0)</f>
        <v/>
      </c>
      <c r="K89" s="17">
        <f>E89-SUM($H$20:H89)</f>
        <v/>
      </c>
      <c r="L89">
        <f>IF(F89&lt;$B$9,"Yes","No")</f>
        <v/>
      </c>
    </row>
    <row r="90">
      <c r="A90" t="n">
        <v>71</v>
      </c>
      <c r="B90" s="37">
        <f>MAX(0,MIN($B$11,$B$8-SUM($B$20:B89)))</f>
        <v/>
      </c>
      <c r="C90" s="37">
        <f>MIN(IF(A90&lt;=$B$12,0,N(OFFSET(B90,-$B$12,0))*$B$16),IF($B$9=0,0,F89/$B$9))</f>
        <v/>
      </c>
      <c r="D90" s="17">
        <f>C90*$B$9</f>
        <v/>
      </c>
      <c r="E90" s="17">
        <f>E89+D90</f>
        <v/>
      </c>
      <c r="F90" s="17">
        <f>$B$10-E90+SUM($J$20:J90)</f>
        <v/>
      </c>
      <c r="G90" s="17">
        <f>SUMIFS($D$20:D89,$A$20:A89,"&gt;="&amp;(A90-$B$13))/$B$13</f>
        <v/>
      </c>
      <c r="H90" s="17">
        <f>G90*(1-$B$15)</f>
        <v/>
      </c>
      <c r="I90" s="17">
        <f>H90*$B$14/52*$B$13</f>
        <v/>
      </c>
      <c r="J90" s="17">
        <f>IF($B$17&gt;0,H90,0)</f>
        <v/>
      </c>
      <c r="K90" s="17">
        <f>E90-SUM($H$20:H90)</f>
        <v/>
      </c>
      <c r="L90">
        <f>IF(F90&lt;$B$9,"Yes","No")</f>
        <v/>
      </c>
    </row>
    <row r="91">
      <c r="A91" t="n">
        <v>72</v>
      </c>
      <c r="B91" s="37">
        <f>MAX(0,MIN($B$11,$B$8-SUM($B$20:B90)))</f>
        <v/>
      </c>
      <c r="C91" s="37">
        <f>MIN(IF(A91&lt;=$B$12,0,N(OFFSET(B91,-$B$12,0))*$B$16),IF($B$9=0,0,F90/$B$9))</f>
        <v/>
      </c>
      <c r="D91" s="17">
        <f>C91*$B$9</f>
        <v/>
      </c>
      <c r="E91" s="17">
        <f>E90+D91</f>
        <v/>
      </c>
      <c r="F91" s="17">
        <f>$B$10-E91+SUM($J$20:J91)</f>
        <v/>
      </c>
      <c r="G91" s="17">
        <f>SUMIFS($D$20:D90,$A$20:A90,"&gt;="&amp;(A91-$B$13))/$B$13</f>
        <v/>
      </c>
      <c r="H91" s="17">
        <f>G91*(1-$B$15)</f>
        <v/>
      </c>
      <c r="I91" s="17">
        <f>H91*$B$14/52*$B$13</f>
        <v/>
      </c>
      <c r="J91" s="17">
        <f>IF($B$17&gt;0,H91,0)</f>
        <v/>
      </c>
      <c r="K91" s="17">
        <f>E91-SUM($H$20:H91)</f>
        <v/>
      </c>
      <c r="L91">
        <f>IF(F91&lt;$B$9,"Yes","No")</f>
        <v/>
      </c>
    </row>
    <row r="92">
      <c r="A92" t="n">
        <v>73</v>
      </c>
      <c r="B92" s="37">
        <f>MAX(0,MIN($B$11,$B$8-SUM($B$20:B91)))</f>
        <v/>
      </c>
      <c r="C92" s="37">
        <f>MIN(IF(A92&lt;=$B$12,0,N(OFFSET(B92,-$B$12,0))*$B$16),IF($B$9=0,0,F91/$B$9))</f>
        <v/>
      </c>
      <c r="D92" s="17">
        <f>C92*$B$9</f>
        <v/>
      </c>
      <c r="E92" s="17">
        <f>E91+D92</f>
        <v/>
      </c>
      <c r="F92" s="17">
        <f>$B$10-E92+SUM($J$20:J92)</f>
        <v/>
      </c>
      <c r="G92" s="17">
        <f>SUMIFS($D$20:D91,$A$20:A91,"&gt;="&amp;(A92-$B$13))/$B$13</f>
        <v/>
      </c>
      <c r="H92" s="17">
        <f>G92*(1-$B$15)</f>
        <v/>
      </c>
      <c r="I92" s="17">
        <f>H92*$B$14/52*$B$13</f>
        <v/>
      </c>
      <c r="J92" s="17">
        <f>IF($B$17&gt;0,H92,0)</f>
        <v/>
      </c>
      <c r="K92" s="17">
        <f>E92-SUM($H$20:H92)</f>
        <v/>
      </c>
      <c r="L92">
        <f>IF(F92&lt;$B$9,"Yes","No")</f>
        <v/>
      </c>
    </row>
    <row r="93">
      <c r="A93" t="n">
        <v>74</v>
      </c>
      <c r="B93" s="37">
        <f>MAX(0,MIN($B$11,$B$8-SUM($B$20:B92)))</f>
        <v/>
      </c>
      <c r="C93" s="37">
        <f>MIN(IF(A93&lt;=$B$12,0,N(OFFSET(B93,-$B$12,0))*$B$16),IF($B$9=0,0,F92/$B$9))</f>
        <v/>
      </c>
      <c r="D93" s="17">
        <f>C93*$B$9</f>
        <v/>
      </c>
      <c r="E93" s="17">
        <f>E92+D93</f>
        <v/>
      </c>
      <c r="F93" s="17">
        <f>$B$10-E93+SUM($J$20:J93)</f>
        <v/>
      </c>
      <c r="G93" s="17">
        <f>SUMIFS($D$20:D92,$A$20:A92,"&gt;="&amp;(A93-$B$13))/$B$13</f>
        <v/>
      </c>
      <c r="H93" s="17">
        <f>G93*(1-$B$15)</f>
        <v/>
      </c>
      <c r="I93" s="17">
        <f>H93*$B$14/52*$B$13</f>
        <v/>
      </c>
      <c r="J93" s="17">
        <f>IF($B$17&gt;0,H93,0)</f>
        <v/>
      </c>
      <c r="K93" s="17">
        <f>E93-SUM($H$20:H93)</f>
        <v/>
      </c>
      <c r="L93">
        <f>IF(F93&lt;$B$9,"Yes","No")</f>
        <v/>
      </c>
    </row>
    <row r="94">
      <c r="A94" t="n">
        <v>75</v>
      </c>
      <c r="B94" s="37">
        <f>MAX(0,MIN($B$11,$B$8-SUM($B$20:B93)))</f>
        <v/>
      </c>
      <c r="C94" s="37">
        <f>MIN(IF(A94&lt;=$B$12,0,N(OFFSET(B94,-$B$12,0))*$B$16),IF($B$9=0,0,F93/$B$9))</f>
        <v/>
      </c>
      <c r="D94" s="17">
        <f>C94*$B$9</f>
        <v/>
      </c>
      <c r="E94" s="17">
        <f>E93+D94</f>
        <v/>
      </c>
      <c r="F94" s="17">
        <f>$B$10-E94+SUM($J$20:J94)</f>
        <v/>
      </c>
      <c r="G94" s="17">
        <f>SUMIFS($D$20:D93,$A$20:A93,"&gt;="&amp;(A94-$B$13))/$B$13</f>
        <v/>
      </c>
      <c r="H94" s="17">
        <f>G94*(1-$B$15)</f>
        <v/>
      </c>
      <c r="I94" s="17">
        <f>H94*$B$14/52*$B$13</f>
        <v/>
      </c>
      <c r="J94" s="17">
        <f>IF($B$17&gt;0,H94,0)</f>
        <v/>
      </c>
      <c r="K94" s="17">
        <f>E94-SUM($H$20:H94)</f>
        <v/>
      </c>
      <c r="L94">
        <f>IF(F94&lt;$B$9,"Yes","No")</f>
        <v/>
      </c>
    </row>
    <row r="95">
      <c r="A95" t="n">
        <v>76</v>
      </c>
      <c r="B95" s="37">
        <f>MAX(0,MIN($B$11,$B$8-SUM($B$20:B94)))</f>
        <v/>
      </c>
      <c r="C95" s="37">
        <f>MIN(IF(A95&lt;=$B$12,0,N(OFFSET(B95,-$B$12,0))*$B$16),IF($B$9=0,0,F94/$B$9))</f>
        <v/>
      </c>
      <c r="D95" s="17">
        <f>C95*$B$9</f>
        <v/>
      </c>
      <c r="E95" s="17">
        <f>E94+D95</f>
        <v/>
      </c>
      <c r="F95" s="17">
        <f>$B$10-E95+SUM($J$20:J95)</f>
        <v/>
      </c>
      <c r="G95" s="17">
        <f>SUMIFS($D$20:D94,$A$20:A94,"&gt;="&amp;(A95-$B$13))/$B$13</f>
        <v/>
      </c>
      <c r="H95" s="17">
        <f>G95*(1-$B$15)</f>
        <v/>
      </c>
      <c r="I95" s="17">
        <f>H95*$B$14/52*$B$13</f>
        <v/>
      </c>
      <c r="J95" s="17">
        <f>IF($B$17&gt;0,H95,0)</f>
        <v/>
      </c>
      <c r="K95" s="17">
        <f>E95-SUM($H$20:H95)</f>
        <v/>
      </c>
      <c r="L95">
        <f>IF(F95&lt;$B$9,"Yes","No")</f>
        <v/>
      </c>
    </row>
    <row r="96">
      <c r="A96" t="n">
        <v>77</v>
      </c>
      <c r="B96" s="37">
        <f>MAX(0,MIN($B$11,$B$8-SUM($B$20:B95)))</f>
        <v/>
      </c>
      <c r="C96" s="37">
        <f>MIN(IF(A96&lt;=$B$12,0,N(OFFSET(B96,-$B$12,0))*$B$16),IF($B$9=0,0,F95/$B$9))</f>
        <v/>
      </c>
      <c r="D96" s="17">
        <f>C96*$B$9</f>
        <v/>
      </c>
      <c r="E96" s="17">
        <f>E95+D96</f>
        <v/>
      </c>
      <c r="F96" s="17">
        <f>$B$10-E96+SUM($J$20:J96)</f>
        <v/>
      </c>
      <c r="G96" s="17">
        <f>SUMIFS($D$20:D95,$A$20:A95,"&gt;="&amp;(A96-$B$13))/$B$13</f>
        <v/>
      </c>
      <c r="H96" s="17">
        <f>G96*(1-$B$15)</f>
        <v/>
      </c>
      <c r="I96" s="17">
        <f>H96*$B$14/52*$B$13</f>
        <v/>
      </c>
      <c r="J96" s="17">
        <f>IF($B$17&gt;0,H96,0)</f>
        <v/>
      </c>
      <c r="K96" s="17">
        <f>E96-SUM($H$20:H96)</f>
        <v/>
      </c>
      <c r="L96">
        <f>IF(F96&lt;$B$9,"Yes","No")</f>
        <v/>
      </c>
    </row>
    <row r="97">
      <c r="A97" t="n">
        <v>78</v>
      </c>
      <c r="B97" s="37">
        <f>MAX(0,MIN($B$11,$B$8-SUM($B$20:B96)))</f>
        <v/>
      </c>
      <c r="C97" s="37">
        <f>MIN(IF(A97&lt;=$B$12,0,N(OFFSET(B97,-$B$12,0))*$B$16),IF($B$9=0,0,F96/$B$9))</f>
        <v/>
      </c>
      <c r="D97" s="17">
        <f>C97*$B$9</f>
        <v/>
      </c>
      <c r="E97" s="17">
        <f>E96+D97</f>
        <v/>
      </c>
      <c r="F97" s="17">
        <f>$B$10-E97+SUM($J$20:J97)</f>
        <v/>
      </c>
      <c r="G97" s="17">
        <f>SUMIFS($D$20:D96,$A$20:A96,"&gt;="&amp;(A97-$B$13))/$B$13</f>
        <v/>
      </c>
      <c r="H97" s="17">
        <f>G97*(1-$B$15)</f>
        <v/>
      </c>
      <c r="I97" s="17">
        <f>H97*$B$14/52*$B$13</f>
        <v/>
      </c>
      <c r="J97" s="17">
        <f>IF($B$17&gt;0,H97,0)</f>
        <v/>
      </c>
      <c r="K97" s="17">
        <f>E97-SUM($H$20:H97)</f>
        <v/>
      </c>
      <c r="L97">
        <f>IF(F97&lt;$B$9,"Yes","No")</f>
        <v/>
      </c>
    </row>
    <row r="98">
      <c r="A98" t="n">
        <v>79</v>
      </c>
      <c r="B98" s="37">
        <f>MAX(0,MIN($B$11,$B$8-SUM($B$20:B97)))</f>
        <v/>
      </c>
      <c r="C98" s="37">
        <f>MIN(IF(A98&lt;=$B$12,0,N(OFFSET(B98,-$B$12,0))*$B$16),IF($B$9=0,0,F97/$B$9))</f>
        <v/>
      </c>
      <c r="D98" s="17">
        <f>C98*$B$9</f>
        <v/>
      </c>
      <c r="E98" s="17">
        <f>E97+D98</f>
        <v/>
      </c>
      <c r="F98" s="17">
        <f>$B$10-E98+SUM($J$20:J98)</f>
        <v/>
      </c>
      <c r="G98" s="17">
        <f>SUMIFS($D$20:D97,$A$20:A97,"&gt;="&amp;(A98-$B$13))/$B$13</f>
        <v/>
      </c>
      <c r="H98" s="17">
        <f>G98*(1-$B$15)</f>
        <v/>
      </c>
      <c r="I98" s="17">
        <f>H98*$B$14/52*$B$13</f>
        <v/>
      </c>
      <c r="J98" s="17">
        <f>IF($B$17&gt;0,H98,0)</f>
        <v/>
      </c>
      <c r="K98" s="17">
        <f>E98-SUM($H$20:H98)</f>
        <v/>
      </c>
      <c r="L98">
        <f>IF(F98&lt;$B$9,"Yes","No")</f>
        <v/>
      </c>
    </row>
    <row r="99">
      <c r="A99" t="n">
        <v>80</v>
      </c>
      <c r="B99" s="37">
        <f>MAX(0,MIN($B$11,$B$8-SUM($B$20:B98)))</f>
        <v/>
      </c>
      <c r="C99" s="37">
        <f>MIN(IF(A99&lt;=$B$12,0,N(OFFSET(B99,-$B$12,0))*$B$16),IF($B$9=0,0,F98/$B$9))</f>
        <v/>
      </c>
      <c r="D99" s="17">
        <f>C99*$B$9</f>
        <v/>
      </c>
      <c r="E99" s="17">
        <f>E98+D99</f>
        <v/>
      </c>
      <c r="F99" s="17">
        <f>$B$10-E99+SUM($J$20:J99)</f>
        <v/>
      </c>
      <c r="G99" s="17">
        <f>SUMIFS($D$20:D98,$A$20:A98,"&gt;="&amp;(A99-$B$13))/$B$13</f>
        <v/>
      </c>
      <c r="H99" s="17">
        <f>G99*(1-$B$15)</f>
        <v/>
      </c>
      <c r="I99" s="17">
        <f>H99*$B$14/52*$B$13</f>
        <v/>
      </c>
      <c r="J99" s="17">
        <f>IF($B$17&gt;0,H99,0)</f>
        <v/>
      </c>
      <c r="K99" s="17">
        <f>E99-SUM($H$20:H99)</f>
        <v/>
      </c>
      <c r="L99">
        <f>IF(F99&lt;$B$9,"Yes","No")</f>
        <v/>
      </c>
    </row>
    <row r="100">
      <c r="A100" t="n">
        <v>81</v>
      </c>
      <c r="B100" s="37">
        <f>MAX(0,MIN($B$11,$B$8-SUM($B$20:B99)))</f>
        <v/>
      </c>
      <c r="C100" s="37">
        <f>MIN(IF(A100&lt;=$B$12,0,N(OFFSET(B100,-$B$12,0))*$B$16),IF($B$9=0,0,F99/$B$9))</f>
        <v/>
      </c>
      <c r="D100" s="17">
        <f>C100*$B$9</f>
        <v/>
      </c>
      <c r="E100" s="17">
        <f>E99+D100</f>
        <v/>
      </c>
      <c r="F100" s="17">
        <f>$B$10-E100+SUM($J$20:J100)</f>
        <v/>
      </c>
      <c r="G100" s="17">
        <f>SUMIFS($D$20:D99,$A$20:A99,"&gt;="&amp;(A100-$B$13))/$B$13</f>
        <v/>
      </c>
      <c r="H100" s="17">
        <f>G100*(1-$B$15)</f>
        <v/>
      </c>
      <c r="I100" s="17">
        <f>H100*$B$14/52*$B$13</f>
        <v/>
      </c>
      <c r="J100" s="17">
        <f>IF($B$17&gt;0,H100,0)</f>
        <v/>
      </c>
      <c r="K100" s="17">
        <f>E100-SUM($H$20:H100)</f>
        <v/>
      </c>
      <c r="L100">
        <f>IF(F100&lt;$B$9,"Yes","No")</f>
        <v/>
      </c>
    </row>
    <row r="101">
      <c r="A101" t="n">
        <v>82</v>
      </c>
      <c r="B101" s="37">
        <f>MAX(0,MIN($B$11,$B$8-SUM($B$20:B100)))</f>
        <v/>
      </c>
      <c r="C101" s="37">
        <f>MIN(IF(A101&lt;=$B$12,0,N(OFFSET(B101,-$B$12,0))*$B$16),IF($B$9=0,0,F100/$B$9))</f>
        <v/>
      </c>
      <c r="D101" s="17">
        <f>C101*$B$9</f>
        <v/>
      </c>
      <c r="E101" s="17">
        <f>E100+D101</f>
        <v/>
      </c>
      <c r="F101" s="17">
        <f>$B$10-E101+SUM($J$20:J101)</f>
        <v/>
      </c>
      <c r="G101" s="17">
        <f>SUMIFS($D$20:D100,$A$20:A100,"&gt;="&amp;(A101-$B$13))/$B$13</f>
        <v/>
      </c>
      <c r="H101" s="17">
        <f>G101*(1-$B$15)</f>
        <v/>
      </c>
      <c r="I101" s="17">
        <f>H101*$B$14/52*$B$13</f>
        <v/>
      </c>
      <c r="J101" s="17">
        <f>IF($B$17&gt;0,H101,0)</f>
        <v/>
      </c>
      <c r="K101" s="17">
        <f>E101-SUM($H$20:H101)</f>
        <v/>
      </c>
      <c r="L101">
        <f>IF(F101&lt;$B$9,"Yes","No")</f>
        <v/>
      </c>
    </row>
    <row r="102">
      <c r="A102" t="n">
        <v>83</v>
      </c>
      <c r="B102" s="37">
        <f>MAX(0,MIN($B$11,$B$8-SUM($B$20:B101)))</f>
        <v/>
      </c>
      <c r="C102" s="37">
        <f>MIN(IF(A102&lt;=$B$12,0,N(OFFSET(B102,-$B$12,0))*$B$16),IF($B$9=0,0,F101/$B$9))</f>
        <v/>
      </c>
      <c r="D102" s="17">
        <f>C102*$B$9</f>
        <v/>
      </c>
      <c r="E102" s="17">
        <f>E101+D102</f>
        <v/>
      </c>
      <c r="F102" s="17">
        <f>$B$10-E102+SUM($J$20:J102)</f>
        <v/>
      </c>
      <c r="G102" s="17">
        <f>SUMIFS($D$20:D101,$A$20:A101,"&gt;="&amp;(A102-$B$13))/$B$13</f>
        <v/>
      </c>
      <c r="H102" s="17">
        <f>G102*(1-$B$15)</f>
        <v/>
      </c>
      <c r="I102" s="17">
        <f>H102*$B$14/52*$B$13</f>
        <v/>
      </c>
      <c r="J102" s="17">
        <f>IF($B$17&gt;0,H102,0)</f>
        <v/>
      </c>
      <c r="K102" s="17">
        <f>E102-SUM($H$20:H102)</f>
        <v/>
      </c>
      <c r="L102">
        <f>IF(F102&lt;$B$9,"Yes","No")</f>
        <v/>
      </c>
    </row>
    <row r="103">
      <c r="A103" t="n">
        <v>84</v>
      </c>
      <c r="B103" s="37">
        <f>MAX(0,MIN($B$11,$B$8-SUM($B$20:B102)))</f>
        <v/>
      </c>
      <c r="C103" s="37">
        <f>MIN(IF(A103&lt;=$B$12,0,N(OFFSET(B103,-$B$12,0))*$B$16),IF($B$9=0,0,F102/$B$9))</f>
        <v/>
      </c>
      <c r="D103" s="17">
        <f>C103*$B$9</f>
        <v/>
      </c>
      <c r="E103" s="17">
        <f>E102+D103</f>
        <v/>
      </c>
      <c r="F103" s="17">
        <f>$B$10-E103+SUM($J$20:J103)</f>
        <v/>
      </c>
      <c r="G103" s="17">
        <f>SUMIFS($D$20:D102,$A$20:A102,"&gt;="&amp;(A103-$B$13))/$B$13</f>
        <v/>
      </c>
      <c r="H103" s="17">
        <f>G103*(1-$B$15)</f>
        <v/>
      </c>
      <c r="I103" s="17">
        <f>H103*$B$14/52*$B$13</f>
        <v/>
      </c>
      <c r="J103" s="17">
        <f>IF($B$17&gt;0,H103,0)</f>
        <v/>
      </c>
      <c r="K103" s="17">
        <f>E103-SUM($H$20:H103)</f>
        <v/>
      </c>
      <c r="L103">
        <f>IF(F103&lt;$B$9,"Yes","No")</f>
        <v/>
      </c>
    </row>
    <row r="104">
      <c r="A104" t="n">
        <v>85</v>
      </c>
      <c r="B104" s="37">
        <f>MAX(0,MIN($B$11,$B$8-SUM($B$20:B103)))</f>
        <v/>
      </c>
      <c r="C104" s="37">
        <f>MIN(IF(A104&lt;=$B$12,0,N(OFFSET(B104,-$B$12,0))*$B$16),IF($B$9=0,0,F103/$B$9))</f>
        <v/>
      </c>
      <c r="D104" s="17">
        <f>C104*$B$9</f>
        <v/>
      </c>
      <c r="E104" s="17">
        <f>E103+D104</f>
        <v/>
      </c>
      <c r="F104" s="17">
        <f>$B$10-E104+SUM($J$20:J104)</f>
        <v/>
      </c>
      <c r="G104" s="17">
        <f>SUMIFS($D$20:D103,$A$20:A103,"&gt;="&amp;(A104-$B$13))/$B$13</f>
        <v/>
      </c>
      <c r="H104" s="17">
        <f>G104*(1-$B$15)</f>
        <v/>
      </c>
      <c r="I104" s="17">
        <f>H104*$B$14/52*$B$13</f>
        <v/>
      </c>
      <c r="J104" s="17">
        <f>IF($B$17&gt;0,H104,0)</f>
        <v/>
      </c>
      <c r="K104" s="17">
        <f>E104-SUM($H$20:H104)</f>
        <v/>
      </c>
      <c r="L104">
        <f>IF(F104&lt;$B$9,"Yes","No")</f>
        <v/>
      </c>
    </row>
    <row r="105">
      <c r="A105" t="n">
        <v>86</v>
      </c>
      <c r="B105" s="37">
        <f>MAX(0,MIN($B$11,$B$8-SUM($B$20:B104)))</f>
        <v/>
      </c>
      <c r="C105" s="37">
        <f>MIN(IF(A105&lt;=$B$12,0,N(OFFSET(B105,-$B$12,0))*$B$16),IF($B$9=0,0,F104/$B$9))</f>
        <v/>
      </c>
      <c r="D105" s="17">
        <f>C105*$B$9</f>
        <v/>
      </c>
      <c r="E105" s="17">
        <f>E104+D105</f>
        <v/>
      </c>
      <c r="F105" s="17">
        <f>$B$10-E105+SUM($J$20:J105)</f>
        <v/>
      </c>
      <c r="G105" s="17">
        <f>SUMIFS($D$20:D104,$A$20:A104,"&gt;="&amp;(A105-$B$13))/$B$13</f>
        <v/>
      </c>
      <c r="H105" s="17">
        <f>G105*(1-$B$15)</f>
        <v/>
      </c>
      <c r="I105" s="17">
        <f>H105*$B$14/52*$B$13</f>
        <v/>
      </c>
      <c r="J105" s="17">
        <f>IF($B$17&gt;0,H105,0)</f>
        <v/>
      </c>
      <c r="K105" s="17">
        <f>E105-SUM($H$20:H105)</f>
        <v/>
      </c>
      <c r="L105">
        <f>IF(F105&lt;$B$9,"Yes","No")</f>
        <v/>
      </c>
    </row>
    <row r="106">
      <c r="A106" t="n">
        <v>87</v>
      </c>
      <c r="B106" s="37">
        <f>MAX(0,MIN($B$11,$B$8-SUM($B$20:B105)))</f>
        <v/>
      </c>
      <c r="C106" s="37">
        <f>MIN(IF(A106&lt;=$B$12,0,N(OFFSET(B106,-$B$12,0))*$B$16),IF($B$9=0,0,F105/$B$9))</f>
        <v/>
      </c>
      <c r="D106" s="17">
        <f>C106*$B$9</f>
        <v/>
      </c>
      <c r="E106" s="17">
        <f>E105+D106</f>
        <v/>
      </c>
      <c r="F106" s="17">
        <f>$B$10-E106+SUM($J$20:J106)</f>
        <v/>
      </c>
      <c r="G106" s="17">
        <f>SUMIFS($D$20:D105,$A$20:A105,"&gt;="&amp;(A106-$B$13))/$B$13</f>
        <v/>
      </c>
      <c r="H106" s="17">
        <f>G106*(1-$B$15)</f>
        <v/>
      </c>
      <c r="I106" s="17">
        <f>H106*$B$14/52*$B$13</f>
        <v/>
      </c>
      <c r="J106" s="17">
        <f>IF($B$17&gt;0,H106,0)</f>
        <v/>
      </c>
      <c r="K106" s="17">
        <f>E106-SUM($H$20:H106)</f>
        <v/>
      </c>
      <c r="L106">
        <f>IF(F106&lt;$B$9,"Yes","No")</f>
        <v/>
      </c>
    </row>
    <row r="107">
      <c r="A107" t="n">
        <v>88</v>
      </c>
      <c r="B107" s="37">
        <f>MAX(0,MIN($B$11,$B$8-SUM($B$20:B106)))</f>
        <v/>
      </c>
      <c r="C107" s="37">
        <f>MIN(IF(A107&lt;=$B$12,0,N(OFFSET(B107,-$B$12,0))*$B$16),IF($B$9=0,0,F106/$B$9))</f>
        <v/>
      </c>
      <c r="D107" s="17">
        <f>C107*$B$9</f>
        <v/>
      </c>
      <c r="E107" s="17">
        <f>E106+D107</f>
        <v/>
      </c>
      <c r="F107" s="17">
        <f>$B$10-E107+SUM($J$20:J107)</f>
        <v/>
      </c>
      <c r="G107" s="17">
        <f>SUMIFS($D$20:D106,$A$20:A106,"&gt;="&amp;(A107-$B$13))/$B$13</f>
        <v/>
      </c>
      <c r="H107" s="17">
        <f>G107*(1-$B$15)</f>
        <v/>
      </c>
      <c r="I107" s="17">
        <f>H107*$B$14/52*$B$13</f>
        <v/>
      </c>
      <c r="J107" s="17">
        <f>IF($B$17&gt;0,H107,0)</f>
        <v/>
      </c>
      <c r="K107" s="17">
        <f>E107-SUM($H$20:H107)</f>
        <v/>
      </c>
      <c r="L107">
        <f>IF(F107&lt;$B$9,"Yes","No")</f>
        <v/>
      </c>
    </row>
    <row r="108">
      <c r="A108" t="n">
        <v>89</v>
      </c>
      <c r="B108" s="37">
        <f>MAX(0,MIN($B$11,$B$8-SUM($B$20:B107)))</f>
        <v/>
      </c>
      <c r="C108" s="37">
        <f>MIN(IF(A108&lt;=$B$12,0,N(OFFSET(B108,-$B$12,0))*$B$16),IF($B$9=0,0,F107/$B$9))</f>
        <v/>
      </c>
      <c r="D108" s="17">
        <f>C108*$B$9</f>
        <v/>
      </c>
      <c r="E108" s="17">
        <f>E107+D108</f>
        <v/>
      </c>
      <c r="F108" s="17">
        <f>$B$10-E108+SUM($J$20:J108)</f>
        <v/>
      </c>
      <c r="G108" s="17">
        <f>SUMIFS($D$20:D107,$A$20:A107,"&gt;="&amp;(A108-$B$13))/$B$13</f>
        <v/>
      </c>
      <c r="H108" s="17">
        <f>G108*(1-$B$15)</f>
        <v/>
      </c>
      <c r="I108" s="17">
        <f>H108*$B$14/52*$B$13</f>
        <v/>
      </c>
      <c r="J108" s="17">
        <f>IF($B$17&gt;0,H108,0)</f>
        <v/>
      </c>
      <c r="K108" s="17">
        <f>E108-SUM($H$20:H108)</f>
        <v/>
      </c>
      <c r="L108">
        <f>IF(F108&lt;$B$9,"Yes","No")</f>
        <v/>
      </c>
    </row>
    <row r="109">
      <c r="A109" t="n">
        <v>90</v>
      </c>
      <c r="B109" s="37">
        <f>MAX(0,MIN($B$11,$B$8-SUM($B$20:B108)))</f>
        <v/>
      </c>
      <c r="C109" s="37">
        <f>MIN(IF(A109&lt;=$B$12,0,N(OFFSET(B109,-$B$12,0))*$B$16),IF($B$9=0,0,F108/$B$9))</f>
        <v/>
      </c>
      <c r="D109" s="17">
        <f>C109*$B$9</f>
        <v/>
      </c>
      <c r="E109" s="17">
        <f>E108+D109</f>
        <v/>
      </c>
      <c r="F109" s="17">
        <f>$B$10-E109+SUM($J$20:J109)</f>
        <v/>
      </c>
      <c r="G109" s="17">
        <f>SUMIFS($D$20:D108,$A$20:A108,"&gt;="&amp;(A109-$B$13))/$B$13</f>
        <v/>
      </c>
      <c r="H109" s="17">
        <f>G109*(1-$B$15)</f>
        <v/>
      </c>
      <c r="I109" s="17">
        <f>H109*$B$14/52*$B$13</f>
        <v/>
      </c>
      <c r="J109" s="17">
        <f>IF($B$17&gt;0,H109,0)</f>
        <v/>
      </c>
      <c r="K109" s="17">
        <f>E109-SUM($H$20:H109)</f>
        <v/>
      </c>
      <c r="L109">
        <f>IF(F109&lt;$B$9,"Yes","No")</f>
        <v/>
      </c>
    </row>
    <row r="110">
      <c r="A110" t="n">
        <v>91</v>
      </c>
      <c r="B110" s="37">
        <f>MAX(0,MIN($B$11,$B$8-SUM($B$20:B109)))</f>
        <v/>
      </c>
      <c r="C110" s="37">
        <f>MIN(IF(A110&lt;=$B$12,0,N(OFFSET(B110,-$B$12,0))*$B$16),IF($B$9=0,0,F109/$B$9))</f>
        <v/>
      </c>
      <c r="D110" s="17">
        <f>C110*$B$9</f>
        <v/>
      </c>
      <c r="E110" s="17">
        <f>E109+D110</f>
        <v/>
      </c>
      <c r="F110" s="17">
        <f>$B$10-E110+SUM($J$20:J110)</f>
        <v/>
      </c>
      <c r="G110" s="17">
        <f>SUMIFS($D$20:D109,$A$20:A109,"&gt;="&amp;(A110-$B$13))/$B$13</f>
        <v/>
      </c>
      <c r="H110" s="17">
        <f>G110*(1-$B$15)</f>
        <v/>
      </c>
      <c r="I110" s="17">
        <f>H110*$B$14/52*$B$13</f>
        <v/>
      </c>
      <c r="J110" s="17">
        <f>IF($B$17&gt;0,H110,0)</f>
        <v/>
      </c>
      <c r="K110" s="17">
        <f>E110-SUM($H$20:H110)</f>
        <v/>
      </c>
      <c r="L110">
        <f>IF(F110&lt;$B$9,"Yes","No")</f>
        <v/>
      </c>
    </row>
    <row r="111">
      <c r="A111" t="n">
        <v>92</v>
      </c>
      <c r="B111" s="37">
        <f>MAX(0,MIN($B$11,$B$8-SUM($B$20:B110)))</f>
        <v/>
      </c>
      <c r="C111" s="37">
        <f>MIN(IF(A111&lt;=$B$12,0,N(OFFSET(B111,-$B$12,0))*$B$16),IF($B$9=0,0,F110/$B$9))</f>
        <v/>
      </c>
      <c r="D111" s="17">
        <f>C111*$B$9</f>
        <v/>
      </c>
      <c r="E111" s="17">
        <f>E110+D111</f>
        <v/>
      </c>
      <c r="F111" s="17">
        <f>$B$10-E111+SUM($J$20:J111)</f>
        <v/>
      </c>
      <c r="G111" s="17">
        <f>SUMIFS($D$20:D110,$A$20:A110,"&gt;="&amp;(A111-$B$13))/$B$13</f>
        <v/>
      </c>
      <c r="H111" s="17">
        <f>G111*(1-$B$15)</f>
        <v/>
      </c>
      <c r="I111" s="17">
        <f>H111*$B$14/52*$B$13</f>
        <v/>
      </c>
      <c r="J111" s="17">
        <f>IF($B$17&gt;0,H111,0)</f>
        <v/>
      </c>
      <c r="K111" s="17">
        <f>E111-SUM($H$20:H111)</f>
        <v/>
      </c>
      <c r="L111">
        <f>IF(F111&lt;$B$9,"Yes","No")</f>
        <v/>
      </c>
    </row>
    <row r="112">
      <c r="A112" t="n">
        <v>93</v>
      </c>
      <c r="B112" s="37">
        <f>MAX(0,MIN($B$11,$B$8-SUM($B$20:B111)))</f>
        <v/>
      </c>
      <c r="C112" s="37">
        <f>MIN(IF(A112&lt;=$B$12,0,N(OFFSET(B112,-$B$12,0))*$B$16),IF($B$9=0,0,F111/$B$9))</f>
        <v/>
      </c>
      <c r="D112" s="17">
        <f>C112*$B$9</f>
        <v/>
      </c>
      <c r="E112" s="17">
        <f>E111+D112</f>
        <v/>
      </c>
      <c r="F112" s="17">
        <f>$B$10-E112+SUM($J$20:J112)</f>
        <v/>
      </c>
      <c r="G112" s="17">
        <f>SUMIFS($D$20:D111,$A$20:A111,"&gt;="&amp;(A112-$B$13))/$B$13</f>
        <v/>
      </c>
      <c r="H112" s="17">
        <f>G112*(1-$B$15)</f>
        <v/>
      </c>
      <c r="I112" s="17">
        <f>H112*$B$14/52*$B$13</f>
        <v/>
      </c>
      <c r="J112" s="17">
        <f>IF($B$17&gt;0,H112,0)</f>
        <v/>
      </c>
      <c r="K112" s="17">
        <f>E112-SUM($H$20:H112)</f>
        <v/>
      </c>
      <c r="L112">
        <f>IF(F112&lt;$B$9,"Yes","No")</f>
        <v/>
      </c>
    </row>
    <row r="113">
      <c r="A113" t="n">
        <v>94</v>
      </c>
      <c r="B113" s="37">
        <f>MAX(0,MIN($B$11,$B$8-SUM($B$20:B112)))</f>
        <v/>
      </c>
      <c r="C113" s="37">
        <f>MIN(IF(A113&lt;=$B$12,0,N(OFFSET(B113,-$B$12,0))*$B$16),IF($B$9=0,0,F112/$B$9))</f>
        <v/>
      </c>
      <c r="D113" s="17">
        <f>C113*$B$9</f>
        <v/>
      </c>
      <c r="E113" s="17">
        <f>E112+D113</f>
        <v/>
      </c>
      <c r="F113" s="17">
        <f>$B$10-E113+SUM($J$20:J113)</f>
        <v/>
      </c>
      <c r="G113" s="17">
        <f>SUMIFS($D$20:D112,$A$20:A112,"&gt;="&amp;(A113-$B$13))/$B$13</f>
        <v/>
      </c>
      <c r="H113" s="17">
        <f>G113*(1-$B$15)</f>
        <v/>
      </c>
      <c r="I113" s="17">
        <f>H113*$B$14/52*$B$13</f>
        <v/>
      </c>
      <c r="J113" s="17">
        <f>IF($B$17&gt;0,H113,0)</f>
        <v/>
      </c>
      <c r="K113" s="17">
        <f>E113-SUM($H$20:H113)</f>
        <v/>
      </c>
      <c r="L113">
        <f>IF(F113&lt;$B$9,"Yes","No")</f>
        <v/>
      </c>
    </row>
    <row r="114">
      <c r="A114" t="n">
        <v>95</v>
      </c>
      <c r="B114" s="37">
        <f>MAX(0,MIN($B$11,$B$8-SUM($B$20:B113)))</f>
        <v/>
      </c>
      <c r="C114" s="37">
        <f>MIN(IF(A114&lt;=$B$12,0,N(OFFSET(B114,-$B$12,0))*$B$16),IF($B$9=0,0,F113/$B$9))</f>
        <v/>
      </c>
      <c r="D114" s="17">
        <f>C114*$B$9</f>
        <v/>
      </c>
      <c r="E114" s="17">
        <f>E113+D114</f>
        <v/>
      </c>
      <c r="F114" s="17">
        <f>$B$10-E114+SUM($J$20:J114)</f>
        <v/>
      </c>
      <c r="G114" s="17">
        <f>SUMIFS($D$20:D113,$A$20:A113,"&gt;="&amp;(A114-$B$13))/$B$13</f>
        <v/>
      </c>
      <c r="H114" s="17">
        <f>G114*(1-$B$15)</f>
        <v/>
      </c>
      <c r="I114" s="17">
        <f>H114*$B$14/52*$B$13</f>
        <v/>
      </c>
      <c r="J114" s="17">
        <f>IF($B$17&gt;0,H114,0)</f>
        <v/>
      </c>
      <c r="K114" s="17">
        <f>E114-SUM($H$20:H114)</f>
        <v/>
      </c>
      <c r="L114">
        <f>IF(F114&lt;$B$9,"Yes","No")</f>
        <v/>
      </c>
    </row>
    <row r="115">
      <c r="A115" t="n">
        <v>96</v>
      </c>
      <c r="B115" s="37">
        <f>MAX(0,MIN($B$11,$B$8-SUM($B$20:B114)))</f>
        <v/>
      </c>
      <c r="C115" s="37">
        <f>MIN(IF(A115&lt;=$B$12,0,N(OFFSET(B115,-$B$12,0))*$B$16),IF($B$9=0,0,F114/$B$9))</f>
        <v/>
      </c>
      <c r="D115" s="17">
        <f>C115*$B$9</f>
        <v/>
      </c>
      <c r="E115" s="17">
        <f>E114+D115</f>
        <v/>
      </c>
      <c r="F115" s="17">
        <f>$B$10-E115+SUM($J$20:J115)</f>
        <v/>
      </c>
      <c r="G115" s="17">
        <f>SUMIFS($D$20:D114,$A$20:A114,"&gt;="&amp;(A115-$B$13))/$B$13</f>
        <v/>
      </c>
      <c r="H115" s="17">
        <f>G115*(1-$B$15)</f>
        <v/>
      </c>
      <c r="I115" s="17">
        <f>H115*$B$14/52*$B$13</f>
        <v/>
      </c>
      <c r="J115" s="17">
        <f>IF($B$17&gt;0,H115,0)</f>
        <v/>
      </c>
      <c r="K115" s="17">
        <f>E115-SUM($H$20:H115)</f>
        <v/>
      </c>
      <c r="L115">
        <f>IF(F115&lt;$B$9,"Yes","No")</f>
        <v/>
      </c>
    </row>
    <row r="116">
      <c r="A116" t="n">
        <v>97</v>
      </c>
      <c r="B116" s="37">
        <f>MAX(0,MIN($B$11,$B$8-SUM($B$20:B115)))</f>
        <v/>
      </c>
      <c r="C116" s="37">
        <f>MIN(IF(A116&lt;=$B$12,0,N(OFFSET(B116,-$B$12,0))*$B$16),IF($B$9=0,0,F115/$B$9))</f>
        <v/>
      </c>
      <c r="D116" s="17">
        <f>C116*$B$9</f>
        <v/>
      </c>
      <c r="E116" s="17">
        <f>E115+D116</f>
        <v/>
      </c>
      <c r="F116" s="17">
        <f>$B$10-E116+SUM($J$20:J116)</f>
        <v/>
      </c>
      <c r="G116" s="17">
        <f>SUMIFS($D$20:D115,$A$20:A115,"&gt;="&amp;(A116-$B$13))/$B$13</f>
        <v/>
      </c>
      <c r="H116" s="17">
        <f>G116*(1-$B$15)</f>
        <v/>
      </c>
      <c r="I116" s="17">
        <f>H116*$B$14/52*$B$13</f>
        <v/>
      </c>
      <c r="J116" s="17">
        <f>IF($B$17&gt;0,H116,0)</f>
        <v/>
      </c>
      <c r="K116" s="17">
        <f>E116-SUM($H$20:H116)</f>
        <v/>
      </c>
      <c r="L116">
        <f>IF(F116&lt;$B$9,"Yes","No")</f>
        <v/>
      </c>
    </row>
    <row r="117">
      <c r="A117" t="n">
        <v>98</v>
      </c>
      <c r="B117" s="37">
        <f>MAX(0,MIN($B$11,$B$8-SUM($B$20:B116)))</f>
        <v/>
      </c>
      <c r="C117" s="37">
        <f>MIN(IF(A117&lt;=$B$12,0,N(OFFSET(B117,-$B$12,0))*$B$16),IF($B$9=0,0,F116/$B$9))</f>
        <v/>
      </c>
      <c r="D117" s="17">
        <f>C117*$B$9</f>
        <v/>
      </c>
      <c r="E117" s="17">
        <f>E116+D117</f>
        <v/>
      </c>
      <c r="F117" s="17">
        <f>$B$10-E117+SUM($J$20:J117)</f>
        <v/>
      </c>
      <c r="G117" s="17">
        <f>SUMIFS($D$20:D116,$A$20:A116,"&gt;="&amp;(A117-$B$13))/$B$13</f>
        <v/>
      </c>
      <c r="H117" s="17">
        <f>G117*(1-$B$15)</f>
        <v/>
      </c>
      <c r="I117" s="17">
        <f>H117*$B$14/52*$B$13</f>
        <v/>
      </c>
      <c r="J117" s="17">
        <f>IF($B$17&gt;0,H117,0)</f>
        <v/>
      </c>
      <c r="K117" s="17">
        <f>E117-SUM($H$20:H117)</f>
        <v/>
      </c>
      <c r="L117">
        <f>IF(F117&lt;$B$9,"Yes","No")</f>
        <v/>
      </c>
    </row>
    <row r="118">
      <c r="A118" t="n">
        <v>99</v>
      </c>
      <c r="B118" s="37">
        <f>MAX(0,MIN($B$11,$B$8-SUM($B$20:B117)))</f>
        <v/>
      </c>
      <c r="C118" s="37">
        <f>MIN(IF(A118&lt;=$B$12,0,N(OFFSET(B118,-$B$12,0))*$B$16),IF($B$9=0,0,F117/$B$9))</f>
        <v/>
      </c>
      <c r="D118" s="17">
        <f>C118*$B$9</f>
        <v/>
      </c>
      <c r="E118" s="17">
        <f>E117+D118</f>
        <v/>
      </c>
      <c r="F118" s="17">
        <f>$B$10-E118+SUM($J$20:J118)</f>
        <v/>
      </c>
      <c r="G118" s="17">
        <f>SUMIFS($D$20:D117,$A$20:A117,"&gt;="&amp;(A118-$B$13))/$B$13</f>
        <v/>
      </c>
      <c r="H118" s="17">
        <f>G118*(1-$B$15)</f>
        <v/>
      </c>
      <c r="I118" s="17">
        <f>H118*$B$14/52*$B$13</f>
        <v/>
      </c>
      <c r="J118" s="17">
        <f>IF($B$17&gt;0,H118,0)</f>
        <v/>
      </c>
      <c r="K118" s="17">
        <f>E118-SUM($H$20:H118)</f>
        <v/>
      </c>
      <c r="L118">
        <f>IF(F118&lt;$B$9,"Yes","No")</f>
        <v/>
      </c>
    </row>
    <row r="119">
      <c r="A119" t="n">
        <v>100</v>
      </c>
      <c r="B119" s="37">
        <f>MAX(0,MIN($B$11,$B$8-SUM($B$20:B118)))</f>
        <v/>
      </c>
      <c r="C119" s="37">
        <f>MIN(IF(A119&lt;=$B$12,0,N(OFFSET(B119,-$B$12,0))*$B$16),IF($B$9=0,0,F118/$B$9))</f>
        <v/>
      </c>
      <c r="D119" s="17">
        <f>C119*$B$9</f>
        <v/>
      </c>
      <c r="E119" s="17">
        <f>E118+D119</f>
        <v/>
      </c>
      <c r="F119" s="17">
        <f>$B$10-E119+SUM($J$20:J119)</f>
        <v/>
      </c>
      <c r="G119" s="17">
        <f>SUMIFS($D$20:D118,$A$20:A118,"&gt;="&amp;(A119-$B$13))/$B$13</f>
        <v/>
      </c>
      <c r="H119" s="17">
        <f>G119*(1-$B$15)</f>
        <v/>
      </c>
      <c r="I119" s="17">
        <f>H119*$B$14/52*$B$13</f>
        <v/>
      </c>
      <c r="J119" s="17">
        <f>IF($B$17&gt;0,H119,0)</f>
        <v/>
      </c>
      <c r="K119" s="17">
        <f>E119-SUM($H$20:H119)</f>
        <v/>
      </c>
      <c r="L119">
        <f>IF(F119&lt;$B$9,"Yes","No")</f>
        <v/>
      </c>
    </row>
    <row r="120">
      <c r="A120" t="n">
        <v>101</v>
      </c>
      <c r="B120" s="37">
        <f>MAX(0,MIN($B$11,$B$8-SUM($B$20:B119)))</f>
        <v/>
      </c>
      <c r="C120" s="37">
        <f>MIN(IF(A120&lt;=$B$12,0,N(OFFSET(B120,-$B$12,0))*$B$16),IF($B$9=0,0,F119/$B$9))</f>
        <v/>
      </c>
      <c r="D120" s="17">
        <f>C120*$B$9</f>
        <v/>
      </c>
      <c r="E120" s="17">
        <f>E119+D120</f>
        <v/>
      </c>
      <c r="F120" s="17">
        <f>$B$10-E120+SUM($J$20:J120)</f>
        <v/>
      </c>
      <c r="G120" s="17">
        <f>SUMIFS($D$20:D119,$A$20:A119,"&gt;="&amp;(A120-$B$13))/$B$13</f>
        <v/>
      </c>
      <c r="H120" s="17">
        <f>G120*(1-$B$15)</f>
        <v/>
      </c>
      <c r="I120" s="17">
        <f>H120*$B$14/52*$B$13</f>
        <v/>
      </c>
      <c r="J120" s="17">
        <f>IF($B$17&gt;0,H120,0)</f>
        <v/>
      </c>
      <c r="K120" s="17">
        <f>E120-SUM($H$20:H120)</f>
        <v/>
      </c>
      <c r="L120">
        <f>IF(F120&lt;$B$9,"Yes","No")</f>
        <v/>
      </c>
    </row>
    <row r="121">
      <c r="A121" t="n">
        <v>102</v>
      </c>
      <c r="B121" s="37">
        <f>MAX(0,MIN($B$11,$B$8-SUM($B$20:B120)))</f>
        <v/>
      </c>
      <c r="C121" s="37">
        <f>MIN(IF(A121&lt;=$B$12,0,N(OFFSET(B121,-$B$12,0))*$B$16),IF($B$9=0,0,F120/$B$9))</f>
        <v/>
      </c>
      <c r="D121" s="17">
        <f>C121*$B$9</f>
        <v/>
      </c>
      <c r="E121" s="17">
        <f>E120+D121</f>
        <v/>
      </c>
      <c r="F121" s="17">
        <f>$B$10-E121+SUM($J$20:J121)</f>
        <v/>
      </c>
      <c r="G121" s="17">
        <f>SUMIFS($D$20:D120,$A$20:A120,"&gt;="&amp;(A121-$B$13))/$B$13</f>
        <v/>
      </c>
      <c r="H121" s="17">
        <f>G121*(1-$B$15)</f>
        <v/>
      </c>
      <c r="I121" s="17">
        <f>H121*$B$14/52*$B$13</f>
        <v/>
      </c>
      <c r="J121" s="17">
        <f>IF($B$17&gt;0,H121,0)</f>
        <v/>
      </c>
      <c r="K121" s="17">
        <f>E121-SUM($H$20:H121)</f>
        <v/>
      </c>
      <c r="L121">
        <f>IF(F121&lt;$B$9,"Yes","No")</f>
        <v/>
      </c>
    </row>
    <row r="122">
      <c r="A122" t="n">
        <v>103</v>
      </c>
      <c r="B122" s="37">
        <f>MAX(0,MIN($B$11,$B$8-SUM($B$20:B121)))</f>
        <v/>
      </c>
      <c r="C122" s="37">
        <f>MIN(IF(A122&lt;=$B$12,0,N(OFFSET(B122,-$B$12,0))*$B$16),IF($B$9=0,0,F121/$B$9))</f>
        <v/>
      </c>
      <c r="D122" s="17">
        <f>C122*$B$9</f>
        <v/>
      </c>
      <c r="E122" s="17">
        <f>E121+D122</f>
        <v/>
      </c>
      <c r="F122" s="17">
        <f>$B$10-E122+SUM($J$20:J122)</f>
        <v/>
      </c>
      <c r="G122" s="17">
        <f>SUMIFS($D$20:D121,$A$20:A121,"&gt;="&amp;(A122-$B$13))/$B$13</f>
        <v/>
      </c>
      <c r="H122" s="17">
        <f>G122*(1-$B$15)</f>
        <v/>
      </c>
      <c r="I122" s="17">
        <f>H122*$B$14/52*$B$13</f>
        <v/>
      </c>
      <c r="J122" s="17">
        <f>IF($B$17&gt;0,H122,0)</f>
        <v/>
      </c>
      <c r="K122" s="17">
        <f>E122-SUM($H$20:H122)</f>
        <v/>
      </c>
      <c r="L122">
        <f>IF(F122&lt;$B$9,"Yes","No")</f>
        <v/>
      </c>
    </row>
    <row r="123">
      <c r="A123" t="n">
        <v>104</v>
      </c>
      <c r="B123" s="37">
        <f>MAX(0,MIN($B$11,$B$8-SUM($B$20:B122)))</f>
        <v/>
      </c>
      <c r="C123" s="37">
        <f>MIN(IF(A123&lt;=$B$12,0,N(OFFSET(B123,-$B$12,0))*$B$16),IF($B$9=0,0,F122/$B$9))</f>
        <v/>
      </c>
      <c r="D123" s="17">
        <f>C123*$B$9</f>
        <v/>
      </c>
      <c r="E123" s="17">
        <f>E122+D123</f>
        <v/>
      </c>
      <c r="F123" s="17">
        <f>$B$10-E123+SUM($J$20:J123)</f>
        <v/>
      </c>
      <c r="G123" s="17">
        <f>SUMIFS($D$20:D122,$A$20:A122,"&gt;="&amp;(A123-$B$13))/$B$13</f>
        <v/>
      </c>
      <c r="H123" s="17">
        <f>G123*(1-$B$15)</f>
        <v/>
      </c>
      <c r="I123" s="17">
        <f>H123*$B$14/52*$B$13</f>
        <v/>
      </c>
      <c r="J123" s="17">
        <f>IF($B$17&gt;0,H123,0)</f>
        <v/>
      </c>
      <c r="K123" s="17">
        <f>E123-SUM($H$20:H123)</f>
        <v/>
      </c>
      <c r="L123">
        <f>IF(F123&lt;$B$9,"Yes","No")</f>
        <v/>
      </c>
    </row>
    <row r="124">
      <c r="A124" s="5" t="inlineStr">
        <is>
          <t>SUMMARY</t>
        </is>
      </c>
      <c r="B124" s="6" t="n"/>
      <c r="C124" s="6" t="n"/>
      <c r="D124" s="6" t="n"/>
    </row>
    <row r="125">
      <c r="A125" t="inlineStr">
        <is>
          <t>Weeks to exhaust the pool</t>
        </is>
      </c>
      <c r="B125" s="35">
        <f>IFERROR(INDEX($A$20:$A$123,MATCH("Yes",$L$20:$L$123,0)),"Not within 104 weeks")</f>
        <v/>
      </c>
    </row>
    <row r="126">
      <c r="A126" t="inlineStr">
        <is>
          <t>Peak Portfolio Outstanding</t>
        </is>
      </c>
      <c r="B126" s="21">
        <f>MAX($K$20:$K$123)</f>
        <v/>
      </c>
    </row>
    <row r="127">
      <c r="A127" t="inlineStr">
        <is>
          <t>Week of peak Portfolio Outstanding</t>
        </is>
      </c>
      <c r="B127" s="34">
        <f>INDEX($A$20:$A$123,MATCH(MAX($K$20:$K$123),$K$20:$K$123,0))</f>
        <v/>
      </c>
    </row>
    <row r="128">
      <c r="A128" t="inlineStr">
        <is>
          <t>Total CMGs served</t>
        </is>
      </c>
      <c r="B128" s="20">
        <f>SUM($C$20:C$123)</f>
        <v/>
      </c>
    </row>
    <row r="129">
      <c r="A129" t="inlineStr">
        <is>
          <t>Total capital disbursed</t>
        </is>
      </c>
      <c r="B129" s="21">
        <f>E123</f>
        <v/>
      </c>
    </row>
    <row r="130">
      <c r="A130" t="inlineStr">
        <is>
          <t>Total capital recycled</t>
        </is>
      </c>
      <c r="B130" s="21">
        <f>SUM($J$20:J123)</f>
        <v/>
      </c>
    </row>
    <row r="132">
      <c r="A132" t="inlineStr">
        <is>
          <t>To compare with vs without recycling: change the Redeployment mode on 'Pilot districts' (0 = off) and re-check 'Weeks to exhaust the pool' and 'Total capital disbursed' above.</t>
        </is>
      </c>
    </row>
  </sheetData>
  <dataValidations count="1">
    <dataValidation sqref="B4" showDropDown="0" showInputMessage="0" showErrorMessage="0" allowBlank="0" type="list">
      <formula1>='Pilot districts'!$A$15:$A$22</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126"/>
  <sheetViews>
    <sheetView workbookViewId="0">
      <pane xSplit="1" ySplit="22" topLeftCell="B23"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Corpus rollout: full allocation upfront vs staggered tranches</t>
        </is>
      </c>
    </row>
    <row r="2">
      <c r="A2" s="2" t="inlineStr">
        <is>
          <t>All 8 pilot districts side by side. Does spending most of the pool on early districts strand later ones?</t>
        </is>
      </c>
    </row>
    <row r="4">
      <c r="A4" s="4" t="inlineStr">
        <is>
          <t>Item</t>
        </is>
      </c>
      <c r="B4" s="4" t="inlineStr">
        <is>
          <t>Value</t>
        </is>
      </c>
      <c r="C4" s="4" t="inlineStr">
        <is>
          <t>Unit</t>
        </is>
      </c>
      <c r="D4" s="4" t="inlineStr">
        <is>
          <t>Note</t>
        </is>
      </c>
    </row>
    <row r="5">
      <c r="A5" s="5" t="inlineStr">
        <is>
          <t>ROLLOUT ASSUMPTIONS</t>
        </is>
      </c>
      <c r="B5" s="6" t="n"/>
      <c r="C5" s="6" t="n"/>
      <c r="D5" s="6" t="n"/>
    </row>
    <row r="6">
      <c r="A6" t="inlineStr">
        <is>
          <t>Tranche advanced to each district upfront (rest held as TAMISEMI reserve)</t>
        </is>
      </c>
      <c r="B6" s="10" t="n">
        <v>0.7</v>
      </c>
      <c r="C6" t="inlineStr">
        <is>
          <t>%</t>
        </is>
      </c>
      <c r="D6" t="inlineStr">
        <is>
          <t>100% = the whole allocation goes out on day one, like the annual model</t>
        </is>
      </c>
    </row>
    <row r="7">
      <c r="A7" t="inlineStr">
        <is>
          <t>New region funding need (illustrative)</t>
        </is>
      </c>
      <c r="B7" s="7" t="n">
        <v>1500000</v>
      </c>
      <c r="C7" t="inlineStr">
        <is>
          <t>USD</t>
        </is>
      </c>
      <c r="D7" t="inlineStr">
        <is>
          <t>Just to test whether the reserve would cover a call for funds from elsewhere</t>
        </is>
      </c>
    </row>
    <row r="9" ht="40" customHeight="1">
      <c r="A9" s="4" t="inlineStr">
        <is>
          <t>District</t>
        </is>
      </c>
      <c r="B9" s="4" t="inlineStr">
        <is>
          <t>Full allocation (USD)</t>
        </is>
      </c>
      <c r="C9" s="4" t="inlineStr">
        <is>
          <t>Committed tranche (USD)</t>
        </is>
      </c>
      <c r="D9" s="4" t="inlineStr">
        <is>
          <t>Reserve contribution (USD)</t>
        </is>
      </c>
      <c r="E9" s="4" t="inlineStr">
        <is>
          <t>Rollout start week</t>
        </is>
      </c>
      <c r="F9" s="4" t="inlineStr">
        <is>
          <t>Combined weekly capacity</t>
        </is>
      </c>
      <c r="G9" s="4" t="inlineStr">
        <is>
          <t>Loan/CMG (USD)</t>
        </is>
      </c>
      <c r="H9" s="4" t="inlineStr">
        <is>
          <t>Weeks to exhaust tranche</t>
        </is>
      </c>
    </row>
    <row r="10">
      <c r="A10">
        <f>'Pilot districts'!A15</f>
        <v/>
      </c>
      <c r="B10" s="17">
        <f>'Pilot districts'!H15</f>
        <v/>
      </c>
      <c r="C10" s="17">
        <f>B10*$B$6</f>
        <v/>
      </c>
      <c r="D10" s="17">
        <f>B10-C10</f>
        <v/>
      </c>
      <c r="E10" s="40">
        <f>'Pilot districts'!M15</f>
        <v/>
      </c>
      <c r="F10" s="37">
        <f>'Pilot districts'!K15</f>
        <v/>
      </c>
      <c r="G10" s="17">
        <f>'Pilot districts'!F15</f>
        <v/>
      </c>
      <c r="H10" s="40">
        <f>IF(F10*G10=0,0,ROUNDUP(C10/(F10*G10),0))</f>
        <v/>
      </c>
    </row>
    <row r="11">
      <c r="A11">
        <f>'Pilot districts'!A16</f>
        <v/>
      </c>
      <c r="B11" s="17">
        <f>'Pilot districts'!H16</f>
        <v/>
      </c>
      <c r="C11" s="17">
        <f>B11*$B$6</f>
        <v/>
      </c>
      <c r="D11" s="17">
        <f>B11-C11</f>
        <v/>
      </c>
      <c r="E11" s="40">
        <f>'Pilot districts'!M16</f>
        <v/>
      </c>
      <c r="F11" s="37">
        <f>'Pilot districts'!K16</f>
        <v/>
      </c>
      <c r="G11" s="17">
        <f>'Pilot districts'!F16</f>
        <v/>
      </c>
      <c r="H11" s="40">
        <f>IF(F11*G11=0,0,ROUNDUP(C11/(F11*G11),0))</f>
        <v/>
      </c>
    </row>
    <row r="12">
      <c r="A12">
        <f>'Pilot districts'!A17</f>
        <v/>
      </c>
      <c r="B12" s="17">
        <f>'Pilot districts'!H17</f>
        <v/>
      </c>
      <c r="C12" s="17">
        <f>B12*$B$6</f>
        <v/>
      </c>
      <c r="D12" s="17">
        <f>B12-C12</f>
        <v/>
      </c>
      <c r="E12" s="40">
        <f>'Pilot districts'!M17</f>
        <v/>
      </c>
      <c r="F12" s="37">
        <f>'Pilot districts'!K17</f>
        <v/>
      </c>
      <c r="G12" s="17">
        <f>'Pilot districts'!F17</f>
        <v/>
      </c>
      <c r="H12" s="40">
        <f>IF(F12*G12=0,0,ROUNDUP(C12/(F12*G12),0))</f>
        <v/>
      </c>
    </row>
    <row r="13">
      <c r="A13">
        <f>'Pilot districts'!A18</f>
        <v/>
      </c>
      <c r="B13" s="17">
        <f>'Pilot districts'!H18</f>
        <v/>
      </c>
      <c r="C13" s="17">
        <f>B13*$B$6</f>
        <v/>
      </c>
      <c r="D13" s="17">
        <f>B13-C13</f>
        <v/>
      </c>
      <c r="E13" s="40">
        <f>'Pilot districts'!M18</f>
        <v/>
      </c>
      <c r="F13" s="37">
        <f>'Pilot districts'!K18</f>
        <v/>
      </c>
      <c r="G13" s="17">
        <f>'Pilot districts'!F18</f>
        <v/>
      </c>
      <c r="H13" s="40">
        <f>IF(F13*G13=0,0,ROUNDUP(C13/(F13*G13),0))</f>
        <v/>
      </c>
    </row>
    <row r="14">
      <c r="A14">
        <f>'Pilot districts'!A19</f>
        <v/>
      </c>
      <c r="B14" s="17">
        <f>'Pilot districts'!H19</f>
        <v/>
      </c>
      <c r="C14" s="17">
        <f>B14*$B$6</f>
        <v/>
      </c>
      <c r="D14" s="17">
        <f>B14-C14</f>
        <v/>
      </c>
      <c r="E14" s="40">
        <f>'Pilot districts'!M19</f>
        <v/>
      </c>
      <c r="F14" s="37">
        <f>'Pilot districts'!K19</f>
        <v/>
      </c>
      <c r="G14" s="17">
        <f>'Pilot districts'!F19</f>
        <v/>
      </c>
      <c r="H14" s="40">
        <f>IF(F14*G14=0,0,ROUNDUP(C14/(F14*G14),0))</f>
        <v/>
      </c>
    </row>
    <row r="15">
      <c r="A15">
        <f>'Pilot districts'!A20</f>
        <v/>
      </c>
      <c r="B15" s="17">
        <f>'Pilot districts'!H20</f>
        <v/>
      </c>
      <c r="C15" s="17">
        <f>B15*$B$6</f>
        <v/>
      </c>
      <c r="D15" s="17">
        <f>B15-C15</f>
        <v/>
      </c>
      <c r="E15" s="40">
        <f>'Pilot districts'!M20</f>
        <v/>
      </c>
      <c r="F15" s="37">
        <f>'Pilot districts'!K20</f>
        <v/>
      </c>
      <c r="G15" s="17">
        <f>'Pilot districts'!F20</f>
        <v/>
      </c>
      <c r="H15" s="40">
        <f>IF(F15*G15=0,0,ROUNDUP(C15/(F15*G15),0))</f>
        <v/>
      </c>
    </row>
    <row r="16">
      <c r="A16">
        <f>'Pilot districts'!A21</f>
        <v/>
      </c>
      <c r="B16" s="17">
        <f>'Pilot districts'!H21</f>
        <v/>
      </c>
      <c r="C16" s="17">
        <f>B16*$B$6</f>
        <v/>
      </c>
      <c r="D16" s="17">
        <f>B16-C16</f>
        <v/>
      </c>
      <c r="E16" s="40">
        <f>'Pilot districts'!M21</f>
        <v/>
      </c>
      <c r="F16" s="37">
        <f>'Pilot districts'!K21</f>
        <v/>
      </c>
      <c r="G16" s="17">
        <f>'Pilot districts'!F21</f>
        <v/>
      </c>
      <c r="H16" s="40">
        <f>IF(F16*G16=0,0,ROUNDUP(C16/(F16*G16),0))</f>
        <v/>
      </c>
    </row>
    <row r="17">
      <c r="A17">
        <f>'Pilot districts'!A22</f>
        <v/>
      </c>
      <c r="B17" s="17">
        <f>'Pilot districts'!H22</f>
        <v/>
      </c>
      <c r="C17" s="17">
        <f>B17*$B$6</f>
        <v/>
      </c>
      <c r="D17" s="17">
        <f>B17-C17</f>
        <v/>
      </c>
      <c r="E17" s="40">
        <f>'Pilot districts'!M22</f>
        <v/>
      </c>
      <c r="F17" s="37">
        <f>'Pilot districts'!K22</f>
        <v/>
      </c>
      <c r="G17" s="17">
        <f>'Pilot districts'!F22</f>
        <v/>
      </c>
      <c r="H17" s="40">
        <f>IF(F17*G17=0,0,ROUNDUP(C17/(F17*G17),0))</f>
        <v/>
      </c>
    </row>
    <row r="18">
      <c r="A18" s="3" t="inlineStr">
        <is>
          <t>TOTAL</t>
        </is>
      </c>
      <c r="B18" s="21">
        <f>SUM(B10:B17)</f>
        <v/>
      </c>
      <c r="C18" s="21">
        <f>SUM(C10:C17)</f>
        <v/>
      </c>
      <c r="D18" s="21">
        <f>SUM(D10:D17)</f>
        <v/>
      </c>
    </row>
    <row r="20">
      <c r="A20" t="inlineStr">
        <is>
          <t>Reserve covers the new region funding need?</t>
        </is>
      </c>
      <c r="B20" s="3">
        <f>IF(D18&gt;=B7,"Yes","No")</f>
        <v/>
      </c>
    </row>
    <row r="21">
      <c r="A21" s="5" t="inlineStr">
        <is>
          <t>WEEKLY CASCADE - capital disbursed to CMGs, by district (capacity-limited, no recycling)</t>
        </is>
      </c>
      <c r="B21" s="6" t="n"/>
      <c r="C21" s="6" t="n"/>
      <c r="D21" s="6" t="n"/>
      <c r="E21" s="6" t="n"/>
      <c r="F21" s="6" t="n"/>
      <c r="G21" s="6" t="n"/>
      <c r="H21" s="6" t="n"/>
      <c r="I21" s="6" t="n"/>
      <c r="J21" s="6" t="n"/>
      <c r="K21" s="6" t="n"/>
      <c r="L21" s="6" t="n"/>
    </row>
    <row r="22">
      <c r="A22" s="4" t="inlineStr">
        <is>
          <t>Week</t>
        </is>
      </c>
      <c r="B22" s="4">
        <f>A10</f>
        <v/>
      </c>
      <c r="C22" s="4">
        <f>A11</f>
        <v/>
      </c>
      <c r="D22" s="4">
        <f>A12</f>
        <v/>
      </c>
      <c r="E22" s="4">
        <f>A13</f>
        <v/>
      </c>
      <c r="F22" s="4">
        <f>A14</f>
        <v/>
      </c>
      <c r="G22" s="4">
        <f>A15</f>
        <v/>
      </c>
      <c r="H22" s="4">
        <f>A16</f>
        <v/>
      </c>
      <c r="I22" s="4">
        <f>A17</f>
        <v/>
      </c>
      <c r="J22" s="4" t="inlineStr">
        <is>
          <t>Total disbursed</t>
        </is>
      </c>
      <c r="K22" s="4" t="inlineStr">
        <is>
          <t>Idle cash at TAMISEMI</t>
        </is>
      </c>
    </row>
    <row r="23">
      <c r="A23" t="n">
        <v>1</v>
      </c>
      <c r="B23" s="17">
        <f>IF(A23&lt;$E$10,0,MIN($C$10,($F$10*$G$10)*(A23-$E$10+1)))</f>
        <v/>
      </c>
      <c r="C23" s="17">
        <f>IF(A23&lt;$E$11,0,MIN($C$11,($F$11*$G$11)*(A23-$E$11+1)))</f>
        <v/>
      </c>
      <c r="D23" s="17">
        <f>IF(A23&lt;$E$12,0,MIN($C$12,($F$12*$G$12)*(A23-$E$12+1)))</f>
        <v/>
      </c>
      <c r="E23" s="17">
        <f>IF(A23&lt;$E$13,0,MIN($C$13,($F$13*$G$13)*(A23-$E$13+1)))</f>
        <v/>
      </c>
      <c r="F23" s="17">
        <f>IF(A23&lt;$E$14,0,MIN($C$14,($F$14*$G$14)*(A23-$E$14+1)))</f>
        <v/>
      </c>
      <c r="G23" s="17">
        <f>IF(A23&lt;$E$15,0,MIN($C$15,($F$15*$G$15)*(A23-$E$15+1)))</f>
        <v/>
      </c>
      <c r="H23" s="17">
        <f>IF(A23&lt;$E$16,0,MIN($C$16,($F$16*$G$16)*(A23-$E$16+1)))</f>
        <v/>
      </c>
      <c r="I23" s="17">
        <f>IF(A23&lt;$E$17,0,MIN($C$17,($F$17*$G$17)*(A23-$E$17+1)))</f>
        <v/>
      </c>
      <c r="J23" s="17">
        <f>SUM(B23:I23)</f>
        <v/>
      </c>
      <c r="K23" s="17">
        <f>'Pilot districts'!$B$6-SUMPRODUCT(($E$10:$E$17&lt;=A23)*$C$10:$C$17)</f>
        <v/>
      </c>
    </row>
    <row r="24">
      <c r="A24" t="n">
        <v>2</v>
      </c>
      <c r="B24" s="17">
        <f>IF(A24&lt;$E$10,0,MIN($C$10,($F$10*$G$10)*(A24-$E$10+1)))</f>
        <v/>
      </c>
      <c r="C24" s="17">
        <f>IF(A24&lt;$E$11,0,MIN($C$11,($F$11*$G$11)*(A24-$E$11+1)))</f>
        <v/>
      </c>
      <c r="D24" s="17">
        <f>IF(A24&lt;$E$12,0,MIN($C$12,($F$12*$G$12)*(A24-$E$12+1)))</f>
        <v/>
      </c>
      <c r="E24" s="17">
        <f>IF(A24&lt;$E$13,0,MIN($C$13,($F$13*$G$13)*(A24-$E$13+1)))</f>
        <v/>
      </c>
      <c r="F24" s="17">
        <f>IF(A24&lt;$E$14,0,MIN($C$14,($F$14*$G$14)*(A24-$E$14+1)))</f>
        <v/>
      </c>
      <c r="G24" s="17">
        <f>IF(A24&lt;$E$15,0,MIN($C$15,($F$15*$G$15)*(A24-$E$15+1)))</f>
        <v/>
      </c>
      <c r="H24" s="17">
        <f>IF(A24&lt;$E$16,0,MIN($C$16,($F$16*$G$16)*(A24-$E$16+1)))</f>
        <v/>
      </c>
      <c r="I24" s="17">
        <f>IF(A24&lt;$E$17,0,MIN($C$17,($F$17*$G$17)*(A24-$E$17+1)))</f>
        <v/>
      </c>
      <c r="J24" s="17">
        <f>SUM(B24:I24)</f>
        <v/>
      </c>
      <c r="K24" s="17">
        <f>'Pilot districts'!$B$6-SUMPRODUCT(($E$10:$E$17&lt;=A24)*$C$10:$C$17)</f>
        <v/>
      </c>
    </row>
    <row r="25">
      <c r="A25" t="n">
        <v>3</v>
      </c>
      <c r="B25" s="17">
        <f>IF(A25&lt;$E$10,0,MIN($C$10,($F$10*$G$10)*(A25-$E$10+1)))</f>
        <v/>
      </c>
      <c r="C25" s="17">
        <f>IF(A25&lt;$E$11,0,MIN($C$11,($F$11*$G$11)*(A25-$E$11+1)))</f>
        <v/>
      </c>
      <c r="D25" s="17">
        <f>IF(A25&lt;$E$12,0,MIN($C$12,($F$12*$G$12)*(A25-$E$12+1)))</f>
        <v/>
      </c>
      <c r="E25" s="17">
        <f>IF(A25&lt;$E$13,0,MIN($C$13,($F$13*$G$13)*(A25-$E$13+1)))</f>
        <v/>
      </c>
      <c r="F25" s="17">
        <f>IF(A25&lt;$E$14,0,MIN($C$14,($F$14*$G$14)*(A25-$E$14+1)))</f>
        <v/>
      </c>
      <c r="G25" s="17">
        <f>IF(A25&lt;$E$15,0,MIN($C$15,($F$15*$G$15)*(A25-$E$15+1)))</f>
        <v/>
      </c>
      <c r="H25" s="17">
        <f>IF(A25&lt;$E$16,0,MIN($C$16,($F$16*$G$16)*(A25-$E$16+1)))</f>
        <v/>
      </c>
      <c r="I25" s="17">
        <f>IF(A25&lt;$E$17,0,MIN($C$17,($F$17*$G$17)*(A25-$E$17+1)))</f>
        <v/>
      </c>
      <c r="J25" s="17">
        <f>SUM(B25:I25)</f>
        <v/>
      </c>
      <c r="K25" s="17">
        <f>'Pilot districts'!$B$6-SUMPRODUCT(($E$10:$E$17&lt;=A25)*$C$10:$C$17)</f>
        <v/>
      </c>
    </row>
    <row r="26">
      <c r="A26" t="n">
        <v>4</v>
      </c>
      <c r="B26" s="17">
        <f>IF(A26&lt;$E$10,0,MIN($C$10,($F$10*$G$10)*(A26-$E$10+1)))</f>
        <v/>
      </c>
      <c r="C26" s="17">
        <f>IF(A26&lt;$E$11,0,MIN($C$11,($F$11*$G$11)*(A26-$E$11+1)))</f>
        <v/>
      </c>
      <c r="D26" s="17">
        <f>IF(A26&lt;$E$12,0,MIN($C$12,($F$12*$G$12)*(A26-$E$12+1)))</f>
        <v/>
      </c>
      <c r="E26" s="17">
        <f>IF(A26&lt;$E$13,0,MIN($C$13,($F$13*$G$13)*(A26-$E$13+1)))</f>
        <v/>
      </c>
      <c r="F26" s="17">
        <f>IF(A26&lt;$E$14,0,MIN($C$14,($F$14*$G$14)*(A26-$E$14+1)))</f>
        <v/>
      </c>
      <c r="G26" s="17">
        <f>IF(A26&lt;$E$15,0,MIN($C$15,($F$15*$G$15)*(A26-$E$15+1)))</f>
        <v/>
      </c>
      <c r="H26" s="17">
        <f>IF(A26&lt;$E$16,0,MIN($C$16,($F$16*$G$16)*(A26-$E$16+1)))</f>
        <v/>
      </c>
      <c r="I26" s="17">
        <f>IF(A26&lt;$E$17,0,MIN($C$17,($F$17*$G$17)*(A26-$E$17+1)))</f>
        <v/>
      </c>
      <c r="J26" s="17">
        <f>SUM(B26:I26)</f>
        <v/>
      </c>
      <c r="K26" s="17">
        <f>'Pilot districts'!$B$6-SUMPRODUCT(($E$10:$E$17&lt;=A26)*$C$10:$C$17)</f>
        <v/>
      </c>
    </row>
    <row r="27">
      <c r="A27" t="n">
        <v>5</v>
      </c>
      <c r="B27" s="17">
        <f>IF(A27&lt;$E$10,0,MIN($C$10,($F$10*$G$10)*(A27-$E$10+1)))</f>
        <v/>
      </c>
      <c r="C27" s="17">
        <f>IF(A27&lt;$E$11,0,MIN($C$11,($F$11*$G$11)*(A27-$E$11+1)))</f>
        <v/>
      </c>
      <c r="D27" s="17">
        <f>IF(A27&lt;$E$12,0,MIN($C$12,($F$12*$G$12)*(A27-$E$12+1)))</f>
        <v/>
      </c>
      <c r="E27" s="17">
        <f>IF(A27&lt;$E$13,0,MIN($C$13,($F$13*$G$13)*(A27-$E$13+1)))</f>
        <v/>
      </c>
      <c r="F27" s="17">
        <f>IF(A27&lt;$E$14,0,MIN($C$14,($F$14*$G$14)*(A27-$E$14+1)))</f>
        <v/>
      </c>
      <c r="G27" s="17">
        <f>IF(A27&lt;$E$15,0,MIN($C$15,($F$15*$G$15)*(A27-$E$15+1)))</f>
        <v/>
      </c>
      <c r="H27" s="17">
        <f>IF(A27&lt;$E$16,0,MIN($C$16,($F$16*$G$16)*(A27-$E$16+1)))</f>
        <v/>
      </c>
      <c r="I27" s="17">
        <f>IF(A27&lt;$E$17,0,MIN($C$17,($F$17*$G$17)*(A27-$E$17+1)))</f>
        <v/>
      </c>
      <c r="J27" s="17">
        <f>SUM(B27:I27)</f>
        <v/>
      </c>
      <c r="K27" s="17">
        <f>'Pilot districts'!$B$6-SUMPRODUCT(($E$10:$E$17&lt;=A27)*$C$10:$C$17)</f>
        <v/>
      </c>
    </row>
    <row r="28">
      <c r="A28" t="n">
        <v>6</v>
      </c>
      <c r="B28" s="17">
        <f>IF(A28&lt;$E$10,0,MIN($C$10,($F$10*$G$10)*(A28-$E$10+1)))</f>
        <v/>
      </c>
      <c r="C28" s="17">
        <f>IF(A28&lt;$E$11,0,MIN($C$11,($F$11*$G$11)*(A28-$E$11+1)))</f>
        <v/>
      </c>
      <c r="D28" s="17">
        <f>IF(A28&lt;$E$12,0,MIN($C$12,($F$12*$G$12)*(A28-$E$12+1)))</f>
        <v/>
      </c>
      <c r="E28" s="17">
        <f>IF(A28&lt;$E$13,0,MIN($C$13,($F$13*$G$13)*(A28-$E$13+1)))</f>
        <v/>
      </c>
      <c r="F28" s="17">
        <f>IF(A28&lt;$E$14,0,MIN($C$14,($F$14*$G$14)*(A28-$E$14+1)))</f>
        <v/>
      </c>
      <c r="G28" s="17">
        <f>IF(A28&lt;$E$15,0,MIN($C$15,($F$15*$G$15)*(A28-$E$15+1)))</f>
        <v/>
      </c>
      <c r="H28" s="17">
        <f>IF(A28&lt;$E$16,0,MIN($C$16,($F$16*$G$16)*(A28-$E$16+1)))</f>
        <v/>
      </c>
      <c r="I28" s="17">
        <f>IF(A28&lt;$E$17,0,MIN($C$17,($F$17*$G$17)*(A28-$E$17+1)))</f>
        <v/>
      </c>
      <c r="J28" s="17">
        <f>SUM(B28:I28)</f>
        <v/>
      </c>
      <c r="K28" s="17">
        <f>'Pilot districts'!$B$6-SUMPRODUCT(($E$10:$E$17&lt;=A28)*$C$10:$C$17)</f>
        <v/>
      </c>
    </row>
    <row r="29">
      <c r="A29" t="n">
        <v>7</v>
      </c>
      <c r="B29" s="17">
        <f>IF(A29&lt;$E$10,0,MIN($C$10,($F$10*$G$10)*(A29-$E$10+1)))</f>
        <v/>
      </c>
      <c r="C29" s="17">
        <f>IF(A29&lt;$E$11,0,MIN($C$11,($F$11*$G$11)*(A29-$E$11+1)))</f>
        <v/>
      </c>
      <c r="D29" s="17">
        <f>IF(A29&lt;$E$12,0,MIN($C$12,($F$12*$G$12)*(A29-$E$12+1)))</f>
        <v/>
      </c>
      <c r="E29" s="17">
        <f>IF(A29&lt;$E$13,0,MIN($C$13,($F$13*$G$13)*(A29-$E$13+1)))</f>
        <v/>
      </c>
      <c r="F29" s="17">
        <f>IF(A29&lt;$E$14,0,MIN($C$14,($F$14*$G$14)*(A29-$E$14+1)))</f>
        <v/>
      </c>
      <c r="G29" s="17">
        <f>IF(A29&lt;$E$15,0,MIN($C$15,($F$15*$G$15)*(A29-$E$15+1)))</f>
        <v/>
      </c>
      <c r="H29" s="17">
        <f>IF(A29&lt;$E$16,0,MIN($C$16,($F$16*$G$16)*(A29-$E$16+1)))</f>
        <v/>
      </c>
      <c r="I29" s="17">
        <f>IF(A29&lt;$E$17,0,MIN($C$17,($F$17*$G$17)*(A29-$E$17+1)))</f>
        <v/>
      </c>
      <c r="J29" s="17">
        <f>SUM(B29:I29)</f>
        <v/>
      </c>
      <c r="K29" s="17">
        <f>'Pilot districts'!$B$6-SUMPRODUCT(($E$10:$E$17&lt;=A29)*$C$10:$C$17)</f>
        <v/>
      </c>
    </row>
    <row r="30">
      <c r="A30" t="n">
        <v>8</v>
      </c>
      <c r="B30" s="17">
        <f>IF(A30&lt;$E$10,0,MIN($C$10,($F$10*$G$10)*(A30-$E$10+1)))</f>
        <v/>
      </c>
      <c r="C30" s="17">
        <f>IF(A30&lt;$E$11,0,MIN($C$11,($F$11*$G$11)*(A30-$E$11+1)))</f>
        <v/>
      </c>
      <c r="D30" s="17">
        <f>IF(A30&lt;$E$12,0,MIN($C$12,($F$12*$G$12)*(A30-$E$12+1)))</f>
        <v/>
      </c>
      <c r="E30" s="17">
        <f>IF(A30&lt;$E$13,0,MIN($C$13,($F$13*$G$13)*(A30-$E$13+1)))</f>
        <v/>
      </c>
      <c r="F30" s="17">
        <f>IF(A30&lt;$E$14,0,MIN($C$14,($F$14*$G$14)*(A30-$E$14+1)))</f>
        <v/>
      </c>
      <c r="G30" s="17">
        <f>IF(A30&lt;$E$15,0,MIN($C$15,($F$15*$G$15)*(A30-$E$15+1)))</f>
        <v/>
      </c>
      <c r="H30" s="17">
        <f>IF(A30&lt;$E$16,0,MIN($C$16,($F$16*$G$16)*(A30-$E$16+1)))</f>
        <v/>
      </c>
      <c r="I30" s="17">
        <f>IF(A30&lt;$E$17,0,MIN($C$17,($F$17*$G$17)*(A30-$E$17+1)))</f>
        <v/>
      </c>
      <c r="J30" s="17">
        <f>SUM(B30:I30)</f>
        <v/>
      </c>
      <c r="K30" s="17">
        <f>'Pilot districts'!$B$6-SUMPRODUCT(($E$10:$E$17&lt;=A30)*$C$10:$C$17)</f>
        <v/>
      </c>
    </row>
    <row r="31">
      <c r="A31" t="n">
        <v>9</v>
      </c>
      <c r="B31" s="17">
        <f>IF(A31&lt;$E$10,0,MIN($C$10,($F$10*$G$10)*(A31-$E$10+1)))</f>
        <v/>
      </c>
      <c r="C31" s="17">
        <f>IF(A31&lt;$E$11,0,MIN($C$11,($F$11*$G$11)*(A31-$E$11+1)))</f>
        <v/>
      </c>
      <c r="D31" s="17">
        <f>IF(A31&lt;$E$12,0,MIN($C$12,($F$12*$G$12)*(A31-$E$12+1)))</f>
        <v/>
      </c>
      <c r="E31" s="17">
        <f>IF(A31&lt;$E$13,0,MIN($C$13,($F$13*$G$13)*(A31-$E$13+1)))</f>
        <v/>
      </c>
      <c r="F31" s="17">
        <f>IF(A31&lt;$E$14,0,MIN($C$14,($F$14*$G$14)*(A31-$E$14+1)))</f>
        <v/>
      </c>
      <c r="G31" s="17">
        <f>IF(A31&lt;$E$15,0,MIN($C$15,($F$15*$G$15)*(A31-$E$15+1)))</f>
        <v/>
      </c>
      <c r="H31" s="17">
        <f>IF(A31&lt;$E$16,0,MIN($C$16,($F$16*$G$16)*(A31-$E$16+1)))</f>
        <v/>
      </c>
      <c r="I31" s="17">
        <f>IF(A31&lt;$E$17,0,MIN($C$17,($F$17*$G$17)*(A31-$E$17+1)))</f>
        <v/>
      </c>
      <c r="J31" s="17">
        <f>SUM(B31:I31)</f>
        <v/>
      </c>
      <c r="K31" s="17">
        <f>'Pilot districts'!$B$6-SUMPRODUCT(($E$10:$E$17&lt;=A31)*$C$10:$C$17)</f>
        <v/>
      </c>
    </row>
    <row r="32">
      <c r="A32" t="n">
        <v>10</v>
      </c>
      <c r="B32" s="17">
        <f>IF(A32&lt;$E$10,0,MIN($C$10,($F$10*$G$10)*(A32-$E$10+1)))</f>
        <v/>
      </c>
      <c r="C32" s="17">
        <f>IF(A32&lt;$E$11,0,MIN($C$11,($F$11*$G$11)*(A32-$E$11+1)))</f>
        <v/>
      </c>
      <c r="D32" s="17">
        <f>IF(A32&lt;$E$12,0,MIN($C$12,($F$12*$G$12)*(A32-$E$12+1)))</f>
        <v/>
      </c>
      <c r="E32" s="17">
        <f>IF(A32&lt;$E$13,0,MIN($C$13,($F$13*$G$13)*(A32-$E$13+1)))</f>
        <v/>
      </c>
      <c r="F32" s="17">
        <f>IF(A32&lt;$E$14,0,MIN($C$14,($F$14*$G$14)*(A32-$E$14+1)))</f>
        <v/>
      </c>
      <c r="G32" s="17">
        <f>IF(A32&lt;$E$15,0,MIN($C$15,($F$15*$G$15)*(A32-$E$15+1)))</f>
        <v/>
      </c>
      <c r="H32" s="17">
        <f>IF(A32&lt;$E$16,0,MIN($C$16,($F$16*$G$16)*(A32-$E$16+1)))</f>
        <v/>
      </c>
      <c r="I32" s="17">
        <f>IF(A32&lt;$E$17,0,MIN($C$17,($F$17*$G$17)*(A32-$E$17+1)))</f>
        <v/>
      </c>
      <c r="J32" s="17">
        <f>SUM(B32:I32)</f>
        <v/>
      </c>
      <c r="K32" s="17">
        <f>'Pilot districts'!$B$6-SUMPRODUCT(($E$10:$E$17&lt;=A32)*$C$10:$C$17)</f>
        <v/>
      </c>
    </row>
    <row r="33">
      <c r="A33" t="n">
        <v>11</v>
      </c>
      <c r="B33" s="17">
        <f>IF(A33&lt;$E$10,0,MIN($C$10,($F$10*$G$10)*(A33-$E$10+1)))</f>
        <v/>
      </c>
      <c r="C33" s="17">
        <f>IF(A33&lt;$E$11,0,MIN($C$11,($F$11*$G$11)*(A33-$E$11+1)))</f>
        <v/>
      </c>
      <c r="D33" s="17">
        <f>IF(A33&lt;$E$12,0,MIN($C$12,($F$12*$G$12)*(A33-$E$12+1)))</f>
        <v/>
      </c>
      <c r="E33" s="17">
        <f>IF(A33&lt;$E$13,0,MIN($C$13,($F$13*$G$13)*(A33-$E$13+1)))</f>
        <v/>
      </c>
      <c r="F33" s="17">
        <f>IF(A33&lt;$E$14,0,MIN($C$14,($F$14*$G$14)*(A33-$E$14+1)))</f>
        <v/>
      </c>
      <c r="G33" s="17">
        <f>IF(A33&lt;$E$15,0,MIN($C$15,($F$15*$G$15)*(A33-$E$15+1)))</f>
        <v/>
      </c>
      <c r="H33" s="17">
        <f>IF(A33&lt;$E$16,0,MIN($C$16,($F$16*$G$16)*(A33-$E$16+1)))</f>
        <v/>
      </c>
      <c r="I33" s="17">
        <f>IF(A33&lt;$E$17,0,MIN($C$17,($F$17*$G$17)*(A33-$E$17+1)))</f>
        <v/>
      </c>
      <c r="J33" s="17">
        <f>SUM(B33:I33)</f>
        <v/>
      </c>
      <c r="K33" s="17">
        <f>'Pilot districts'!$B$6-SUMPRODUCT(($E$10:$E$17&lt;=A33)*$C$10:$C$17)</f>
        <v/>
      </c>
    </row>
    <row r="34">
      <c r="A34" t="n">
        <v>12</v>
      </c>
      <c r="B34" s="17">
        <f>IF(A34&lt;$E$10,0,MIN($C$10,($F$10*$G$10)*(A34-$E$10+1)))</f>
        <v/>
      </c>
      <c r="C34" s="17">
        <f>IF(A34&lt;$E$11,0,MIN($C$11,($F$11*$G$11)*(A34-$E$11+1)))</f>
        <v/>
      </c>
      <c r="D34" s="17">
        <f>IF(A34&lt;$E$12,0,MIN($C$12,($F$12*$G$12)*(A34-$E$12+1)))</f>
        <v/>
      </c>
      <c r="E34" s="17">
        <f>IF(A34&lt;$E$13,0,MIN($C$13,($F$13*$G$13)*(A34-$E$13+1)))</f>
        <v/>
      </c>
      <c r="F34" s="17">
        <f>IF(A34&lt;$E$14,0,MIN($C$14,($F$14*$G$14)*(A34-$E$14+1)))</f>
        <v/>
      </c>
      <c r="G34" s="17">
        <f>IF(A34&lt;$E$15,0,MIN($C$15,($F$15*$G$15)*(A34-$E$15+1)))</f>
        <v/>
      </c>
      <c r="H34" s="17">
        <f>IF(A34&lt;$E$16,0,MIN($C$16,($F$16*$G$16)*(A34-$E$16+1)))</f>
        <v/>
      </c>
      <c r="I34" s="17">
        <f>IF(A34&lt;$E$17,0,MIN($C$17,($F$17*$G$17)*(A34-$E$17+1)))</f>
        <v/>
      </c>
      <c r="J34" s="17">
        <f>SUM(B34:I34)</f>
        <v/>
      </c>
      <c r="K34" s="17">
        <f>'Pilot districts'!$B$6-SUMPRODUCT(($E$10:$E$17&lt;=A34)*$C$10:$C$17)</f>
        <v/>
      </c>
    </row>
    <row r="35">
      <c r="A35" t="n">
        <v>13</v>
      </c>
      <c r="B35" s="17">
        <f>IF(A35&lt;$E$10,0,MIN($C$10,($F$10*$G$10)*(A35-$E$10+1)))</f>
        <v/>
      </c>
      <c r="C35" s="17">
        <f>IF(A35&lt;$E$11,0,MIN($C$11,($F$11*$G$11)*(A35-$E$11+1)))</f>
        <v/>
      </c>
      <c r="D35" s="17">
        <f>IF(A35&lt;$E$12,0,MIN($C$12,($F$12*$G$12)*(A35-$E$12+1)))</f>
        <v/>
      </c>
      <c r="E35" s="17">
        <f>IF(A35&lt;$E$13,0,MIN($C$13,($F$13*$G$13)*(A35-$E$13+1)))</f>
        <v/>
      </c>
      <c r="F35" s="17">
        <f>IF(A35&lt;$E$14,0,MIN($C$14,($F$14*$G$14)*(A35-$E$14+1)))</f>
        <v/>
      </c>
      <c r="G35" s="17">
        <f>IF(A35&lt;$E$15,0,MIN($C$15,($F$15*$G$15)*(A35-$E$15+1)))</f>
        <v/>
      </c>
      <c r="H35" s="17">
        <f>IF(A35&lt;$E$16,0,MIN($C$16,($F$16*$G$16)*(A35-$E$16+1)))</f>
        <v/>
      </c>
      <c r="I35" s="17">
        <f>IF(A35&lt;$E$17,0,MIN($C$17,($F$17*$G$17)*(A35-$E$17+1)))</f>
        <v/>
      </c>
      <c r="J35" s="17">
        <f>SUM(B35:I35)</f>
        <v/>
      </c>
      <c r="K35" s="17">
        <f>'Pilot districts'!$B$6-SUMPRODUCT(($E$10:$E$17&lt;=A35)*$C$10:$C$17)</f>
        <v/>
      </c>
    </row>
    <row r="36">
      <c r="A36" t="n">
        <v>14</v>
      </c>
      <c r="B36" s="17">
        <f>IF(A36&lt;$E$10,0,MIN($C$10,($F$10*$G$10)*(A36-$E$10+1)))</f>
        <v/>
      </c>
      <c r="C36" s="17">
        <f>IF(A36&lt;$E$11,0,MIN($C$11,($F$11*$G$11)*(A36-$E$11+1)))</f>
        <v/>
      </c>
      <c r="D36" s="17">
        <f>IF(A36&lt;$E$12,0,MIN($C$12,($F$12*$G$12)*(A36-$E$12+1)))</f>
        <v/>
      </c>
      <c r="E36" s="17">
        <f>IF(A36&lt;$E$13,0,MIN($C$13,($F$13*$G$13)*(A36-$E$13+1)))</f>
        <v/>
      </c>
      <c r="F36" s="17">
        <f>IF(A36&lt;$E$14,0,MIN($C$14,($F$14*$G$14)*(A36-$E$14+1)))</f>
        <v/>
      </c>
      <c r="G36" s="17">
        <f>IF(A36&lt;$E$15,0,MIN($C$15,($F$15*$G$15)*(A36-$E$15+1)))</f>
        <v/>
      </c>
      <c r="H36" s="17">
        <f>IF(A36&lt;$E$16,0,MIN($C$16,($F$16*$G$16)*(A36-$E$16+1)))</f>
        <v/>
      </c>
      <c r="I36" s="17">
        <f>IF(A36&lt;$E$17,0,MIN($C$17,($F$17*$G$17)*(A36-$E$17+1)))</f>
        <v/>
      </c>
      <c r="J36" s="17">
        <f>SUM(B36:I36)</f>
        <v/>
      </c>
      <c r="K36" s="17">
        <f>'Pilot districts'!$B$6-SUMPRODUCT(($E$10:$E$17&lt;=A36)*$C$10:$C$17)</f>
        <v/>
      </c>
    </row>
    <row r="37">
      <c r="A37" t="n">
        <v>15</v>
      </c>
      <c r="B37" s="17">
        <f>IF(A37&lt;$E$10,0,MIN($C$10,($F$10*$G$10)*(A37-$E$10+1)))</f>
        <v/>
      </c>
      <c r="C37" s="17">
        <f>IF(A37&lt;$E$11,0,MIN($C$11,($F$11*$G$11)*(A37-$E$11+1)))</f>
        <v/>
      </c>
      <c r="D37" s="17">
        <f>IF(A37&lt;$E$12,0,MIN($C$12,($F$12*$G$12)*(A37-$E$12+1)))</f>
        <v/>
      </c>
      <c r="E37" s="17">
        <f>IF(A37&lt;$E$13,0,MIN($C$13,($F$13*$G$13)*(A37-$E$13+1)))</f>
        <v/>
      </c>
      <c r="F37" s="17">
        <f>IF(A37&lt;$E$14,0,MIN($C$14,($F$14*$G$14)*(A37-$E$14+1)))</f>
        <v/>
      </c>
      <c r="G37" s="17">
        <f>IF(A37&lt;$E$15,0,MIN($C$15,($F$15*$G$15)*(A37-$E$15+1)))</f>
        <v/>
      </c>
      <c r="H37" s="17">
        <f>IF(A37&lt;$E$16,0,MIN($C$16,($F$16*$G$16)*(A37-$E$16+1)))</f>
        <v/>
      </c>
      <c r="I37" s="17">
        <f>IF(A37&lt;$E$17,0,MIN($C$17,($F$17*$G$17)*(A37-$E$17+1)))</f>
        <v/>
      </c>
      <c r="J37" s="17">
        <f>SUM(B37:I37)</f>
        <v/>
      </c>
      <c r="K37" s="17">
        <f>'Pilot districts'!$B$6-SUMPRODUCT(($E$10:$E$17&lt;=A37)*$C$10:$C$17)</f>
        <v/>
      </c>
    </row>
    <row r="38">
      <c r="A38" t="n">
        <v>16</v>
      </c>
      <c r="B38" s="17">
        <f>IF(A38&lt;$E$10,0,MIN($C$10,($F$10*$G$10)*(A38-$E$10+1)))</f>
        <v/>
      </c>
      <c r="C38" s="17">
        <f>IF(A38&lt;$E$11,0,MIN($C$11,($F$11*$G$11)*(A38-$E$11+1)))</f>
        <v/>
      </c>
      <c r="D38" s="17">
        <f>IF(A38&lt;$E$12,0,MIN($C$12,($F$12*$G$12)*(A38-$E$12+1)))</f>
        <v/>
      </c>
      <c r="E38" s="17">
        <f>IF(A38&lt;$E$13,0,MIN($C$13,($F$13*$G$13)*(A38-$E$13+1)))</f>
        <v/>
      </c>
      <c r="F38" s="17">
        <f>IF(A38&lt;$E$14,0,MIN($C$14,($F$14*$G$14)*(A38-$E$14+1)))</f>
        <v/>
      </c>
      <c r="G38" s="17">
        <f>IF(A38&lt;$E$15,0,MIN($C$15,($F$15*$G$15)*(A38-$E$15+1)))</f>
        <v/>
      </c>
      <c r="H38" s="17">
        <f>IF(A38&lt;$E$16,0,MIN($C$16,($F$16*$G$16)*(A38-$E$16+1)))</f>
        <v/>
      </c>
      <c r="I38" s="17">
        <f>IF(A38&lt;$E$17,0,MIN($C$17,($F$17*$G$17)*(A38-$E$17+1)))</f>
        <v/>
      </c>
      <c r="J38" s="17">
        <f>SUM(B38:I38)</f>
        <v/>
      </c>
      <c r="K38" s="17">
        <f>'Pilot districts'!$B$6-SUMPRODUCT(($E$10:$E$17&lt;=A38)*$C$10:$C$17)</f>
        <v/>
      </c>
    </row>
    <row r="39">
      <c r="A39" t="n">
        <v>17</v>
      </c>
      <c r="B39" s="17">
        <f>IF(A39&lt;$E$10,0,MIN($C$10,($F$10*$G$10)*(A39-$E$10+1)))</f>
        <v/>
      </c>
      <c r="C39" s="17">
        <f>IF(A39&lt;$E$11,0,MIN($C$11,($F$11*$G$11)*(A39-$E$11+1)))</f>
        <v/>
      </c>
      <c r="D39" s="17">
        <f>IF(A39&lt;$E$12,0,MIN($C$12,($F$12*$G$12)*(A39-$E$12+1)))</f>
        <v/>
      </c>
      <c r="E39" s="17">
        <f>IF(A39&lt;$E$13,0,MIN($C$13,($F$13*$G$13)*(A39-$E$13+1)))</f>
        <v/>
      </c>
      <c r="F39" s="17">
        <f>IF(A39&lt;$E$14,0,MIN($C$14,($F$14*$G$14)*(A39-$E$14+1)))</f>
        <v/>
      </c>
      <c r="G39" s="17">
        <f>IF(A39&lt;$E$15,0,MIN($C$15,($F$15*$G$15)*(A39-$E$15+1)))</f>
        <v/>
      </c>
      <c r="H39" s="17">
        <f>IF(A39&lt;$E$16,0,MIN($C$16,($F$16*$G$16)*(A39-$E$16+1)))</f>
        <v/>
      </c>
      <c r="I39" s="17">
        <f>IF(A39&lt;$E$17,0,MIN($C$17,($F$17*$G$17)*(A39-$E$17+1)))</f>
        <v/>
      </c>
      <c r="J39" s="17">
        <f>SUM(B39:I39)</f>
        <v/>
      </c>
      <c r="K39" s="17">
        <f>'Pilot districts'!$B$6-SUMPRODUCT(($E$10:$E$17&lt;=A39)*$C$10:$C$17)</f>
        <v/>
      </c>
    </row>
    <row r="40">
      <c r="A40" t="n">
        <v>18</v>
      </c>
      <c r="B40" s="17">
        <f>IF(A40&lt;$E$10,0,MIN($C$10,($F$10*$G$10)*(A40-$E$10+1)))</f>
        <v/>
      </c>
      <c r="C40" s="17">
        <f>IF(A40&lt;$E$11,0,MIN($C$11,($F$11*$G$11)*(A40-$E$11+1)))</f>
        <v/>
      </c>
      <c r="D40" s="17">
        <f>IF(A40&lt;$E$12,0,MIN($C$12,($F$12*$G$12)*(A40-$E$12+1)))</f>
        <v/>
      </c>
      <c r="E40" s="17">
        <f>IF(A40&lt;$E$13,0,MIN($C$13,($F$13*$G$13)*(A40-$E$13+1)))</f>
        <v/>
      </c>
      <c r="F40" s="17">
        <f>IF(A40&lt;$E$14,0,MIN($C$14,($F$14*$G$14)*(A40-$E$14+1)))</f>
        <v/>
      </c>
      <c r="G40" s="17">
        <f>IF(A40&lt;$E$15,0,MIN($C$15,($F$15*$G$15)*(A40-$E$15+1)))</f>
        <v/>
      </c>
      <c r="H40" s="17">
        <f>IF(A40&lt;$E$16,0,MIN($C$16,($F$16*$G$16)*(A40-$E$16+1)))</f>
        <v/>
      </c>
      <c r="I40" s="17">
        <f>IF(A40&lt;$E$17,0,MIN($C$17,($F$17*$G$17)*(A40-$E$17+1)))</f>
        <v/>
      </c>
      <c r="J40" s="17">
        <f>SUM(B40:I40)</f>
        <v/>
      </c>
      <c r="K40" s="17">
        <f>'Pilot districts'!$B$6-SUMPRODUCT(($E$10:$E$17&lt;=A40)*$C$10:$C$17)</f>
        <v/>
      </c>
    </row>
    <row r="41">
      <c r="A41" t="n">
        <v>19</v>
      </c>
      <c r="B41" s="17">
        <f>IF(A41&lt;$E$10,0,MIN($C$10,($F$10*$G$10)*(A41-$E$10+1)))</f>
        <v/>
      </c>
      <c r="C41" s="17">
        <f>IF(A41&lt;$E$11,0,MIN($C$11,($F$11*$G$11)*(A41-$E$11+1)))</f>
        <v/>
      </c>
      <c r="D41" s="17">
        <f>IF(A41&lt;$E$12,0,MIN($C$12,($F$12*$G$12)*(A41-$E$12+1)))</f>
        <v/>
      </c>
      <c r="E41" s="17">
        <f>IF(A41&lt;$E$13,0,MIN($C$13,($F$13*$G$13)*(A41-$E$13+1)))</f>
        <v/>
      </c>
      <c r="F41" s="17">
        <f>IF(A41&lt;$E$14,0,MIN($C$14,($F$14*$G$14)*(A41-$E$14+1)))</f>
        <v/>
      </c>
      <c r="G41" s="17">
        <f>IF(A41&lt;$E$15,0,MIN($C$15,($F$15*$G$15)*(A41-$E$15+1)))</f>
        <v/>
      </c>
      <c r="H41" s="17">
        <f>IF(A41&lt;$E$16,0,MIN($C$16,($F$16*$G$16)*(A41-$E$16+1)))</f>
        <v/>
      </c>
      <c r="I41" s="17">
        <f>IF(A41&lt;$E$17,0,MIN($C$17,($F$17*$G$17)*(A41-$E$17+1)))</f>
        <v/>
      </c>
      <c r="J41" s="17">
        <f>SUM(B41:I41)</f>
        <v/>
      </c>
      <c r="K41" s="17">
        <f>'Pilot districts'!$B$6-SUMPRODUCT(($E$10:$E$17&lt;=A41)*$C$10:$C$17)</f>
        <v/>
      </c>
    </row>
    <row r="42">
      <c r="A42" t="n">
        <v>20</v>
      </c>
      <c r="B42" s="17">
        <f>IF(A42&lt;$E$10,0,MIN($C$10,($F$10*$G$10)*(A42-$E$10+1)))</f>
        <v/>
      </c>
      <c r="C42" s="17">
        <f>IF(A42&lt;$E$11,0,MIN($C$11,($F$11*$G$11)*(A42-$E$11+1)))</f>
        <v/>
      </c>
      <c r="D42" s="17">
        <f>IF(A42&lt;$E$12,0,MIN($C$12,($F$12*$G$12)*(A42-$E$12+1)))</f>
        <v/>
      </c>
      <c r="E42" s="17">
        <f>IF(A42&lt;$E$13,0,MIN($C$13,($F$13*$G$13)*(A42-$E$13+1)))</f>
        <v/>
      </c>
      <c r="F42" s="17">
        <f>IF(A42&lt;$E$14,0,MIN($C$14,($F$14*$G$14)*(A42-$E$14+1)))</f>
        <v/>
      </c>
      <c r="G42" s="17">
        <f>IF(A42&lt;$E$15,0,MIN($C$15,($F$15*$G$15)*(A42-$E$15+1)))</f>
        <v/>
      </c>
      <c r="H42" s="17">
        <f>IF(A42&lt;$E$16,0,MIN($C$16,($F$16*$G$16)*(A42-$E$16+1)))</f>
        <v/>
      </c>
      <c r="I42" s="17">
        <f>IF(A42&lt;$E$17,0,MIN($C$17,($F$17*$G$17)*(A42-$E$17+1)))</f>
        <v/>
      </c>
      <c r="J42" s="17">
        <f>SUM(B42:I42)</f>
        <v/>
      </c>
      <c r="K42" s="17">
        <f>'Pilot districts'!$B$6-SUMPRODUCT(($E$10:$E$17&lt;=A42)*$C$10:$C$17)</f>
        <v/>
      </c>
    </row>
    <row r="43">
      <c r="A43" t="n">
        <v>21</v>
      </c>
      <c r="B43" s="17">
        <f>IF(A43&lt;$E$10,0,MIN($C$10,($F$10*$G$10)*(A43-$E$10+1)))</f>
        <v/>
      </c>
      <c r="C43" s="17">
        <f>IF(A43&lt;$E$11,0,MIN($C$11,($F$11*$G$11)*(A43-$E$11+1)))</f>
        <v/>
      </c>
      <c r="D43" s="17">
        <f>IF(A43&lt;$E$12,0,MIN($C$12,($F$12*$G$12)*(A43-$E$12+1)))</f>
        <v/>
      </c>
      <c r="E43" s="17">
        <f>IF(A43&lt;$E$13,0,MIN($C$13,($F$13*$G$13)*(A43-$E$13+1)))</f>
        <v/>
      </c>
      <c r="F43" s="17">
        <f>IF(A43&lt;$E$14,0,MIN($C$14,($F$14*$G$14)*(A43-$E$14+1)))</f>
        <v/>
      </c>
      <c r="G43" s="17">
        <f>IF(A43&lt;$E$15,0,MIN($C$15,($F$15*$G$15)*(A43-$E$15+1)))</f>
        <v/>
      </c>
      <c r="H43" s="17">
        <f>IF(A43&lt;$E$16,0,MIN($C$16,($F$16*$G$16)*(A43-$E$16+1)))</f>
        <v/>
      </c>
      <c r="I43" s="17">
        <f>IF(A43&lt;$E$17,0,MIN($C$17,($F$17*$G$17)*(A43-$E$17+1)))</f>
        <v/>
      </c>
      <c r="J43" s="17">
        <f>SUM(B43:I43)</f>
        <v/>
      </c>
      <c r="K43" s="17">
        <f>'Pilot districts'!$B$6-SUMPRODUCT(($E$10:$E$17&lt;=A43)*$C$10:$C$17)</f>
        <v/>
      </c>
    </row>
    <row r="44">
      <c r="A44" t="n">
        <v>22</v>
      </c>
      <c r="B44" s="17">
        <f>IF(A44&lt;$E$10,0,MIN($C$10,($F$10*$G$10)*(A44-$E$10+1)))</f>
        <v/>
      </c>
      <c r="C44" s="17">
        <f>IF(A44&lt;$E$11,0,MIN($C$11,($F$11*$G$11)*(A44-$E$11+1)))</f>
        <v/>
      </c>
      <c r="D44" s="17">
        <f>IF(A44&lt;$E$12,0,MIN($C$12,($F$12*$G$12)*(A44-$E$12+1)))</f>
        <v/>
      </c>
      <c r="E44" s="17">
        <f>IF(A44&lt;$E$13,0,MIN($C$13,($F$13*$G$13)*(A44-$E$13+1)))</f>
        <v/>
      </c>
      <c r="F44" s="17">
        <f>IF(A44&lt;$E$14,0,MIN($C$14,($F$14*$G$14)*(A44-$E$14+1)))</f>
        <v/>
      </c>
      <c r="G44" s="17">
        <f>IF(A44&lt;$E$15,0,MIN($C$15,($F$15*$G$15)*(A44-$E$15+1)))</f>
        <v/>
      </c>
      <c r="H44" s="17">
        <f>IF(A44&lt;$E$16,0,MIN($C$16,($F$16*$G$16)*(A44-$E$16+1)))</f>
        <v/>
      </c>
      <c r="I44" s="17">
        <f>IF(A44&lt;$E$17,0,MIN($C$17,($F$17*$G$17)*(A44-$E$17+1)))</f>
        <v/>
      </c>
      <c r="J44" s="17">
        <f>SUM(B44:I44)</f>
        <v/>
      </c>
      <c r="K44" s="17">
        <f>'Pilot districts'!$B$6-SUMPRODUCT(($E$10:$E$17&lt;=A44)*$C$10:$C$17)</f>
        <v/>
      </c>
    </row>
    <row r="45">
      <c r="A45" t="n">
        <v>23</v>
      </c>
      <c r="B45" s="17">
        <f>IF(A45&lt;$E$10,0,MIN($C$10,($F$10*$G$10)*(A45-$E$10+1)))</f>
        <v/>
      </c>
      <c r="C45" s="17">
        <f>IF(A45&lt;$E$11,0,MIN($C$11,($F$11*$G$11)*(A45-$E$11+1)))</f>
        <v/>
      </c>
      <c r="D45" s="17">
        <f>IF(A45&lt;$E$12,0,MIN($C$12,($F$12*$G$12)*(A45-$E$12+1)))</f>
        <v/>
      </c>
      <c r="E45" s="17">
        <f>IF(A45&lt;$E$13,0,MIN($C$13,($F$13*$G$13)*(A45-$E$13+1)))</f>
        <v/>
      </c>
      <c r="F45" s="17">
        <f>IF(A45&lt;$E$14,0,MIN($C$14,($F$14*$G$14)*(A45-$E$14+1)))</f>
        <v/>
      </c>
      <c r="G45" s="17">
        <f>IF(A45&lt;$E$15,0,MIN($C$15,($F$15*$G$15)*(A45-$E$15+1)))</f>
        <v/>
      </c>
      <c r="H45" s="17">
        <f>IF(A45&lt;$E$16,0,MIN($C$16,($F$16*$G$16)*(A45-$E$16+1)))</f>
        <v/>
      </c>
      <c r="I45" s="17">
        <f>IF(A45&lt;$E$17,0,MIN($C$17,($F$17*$G$17)*(A45-$E$17+1)))</f>
        <v/>
      </c>
      <c r="J45" s="17">
        <f>SUM(B45:I45)</f>
        <v/>
      </c>
      <c r="K45" s="17">
        <f>'Pilot districts'!$B$6-SUMPRODUCT(($E$10:$E$17&lt;=A45)*$C$10:$C$17)</f>
        <v/>
      </c>
    </row>
    <row r="46">
      <c r="A46" t="n">
        <v>24</v>
      </c>
      <c r="B46" s="17">
        <f>IF(A46&lt;$E$10,0,MIN($C$10,($F$10*$G$10)*(A46-$E$10+1)))</f>
        <v/>
      </c>
      <c r="C46" s="17">
        <f>IF(A46&lt;$E$11,0,MIN($C$11,($F$11*$G$11)*(A46-$E$11+1)))</f>
        <v/>
      </c>
      <c r="D46" s="17">
        <f>IF(A46&lt;$E$12,0,MIN($C$12,($F$12*$G$12)*(A46-$E$12+1)))</f>
        <v/>
      </c>
      <c r="E46" s="17">
        <f>IF(A46&lt;$E$13,0,MIN($C$13,($F$13*$G$13)*(A46-$E$13+1)))</f>
        <v/>
      </c>
      <c r="F46" s="17">
        <f>IF(A46&lt;$E$14,0,MIN($C$14,($F$14*$G$14)*(A46-$E$14+1)))</f>
        <v/>
      </c>
      <c r="G46" s="17">
        <f>IF(A46&lt;$E$15,0,MIN($C$15,($F$15*$G$15)*(A46-$E$15+1)))</f>
        <v/>
      </c>
      <c r="H46" s="17">
        <f>IF(A46&lt;$E$16,0,MIN($C$16,($F$16*$G$16)*(A46-$E$16+1)))</f>
        <v/>
      </c>
      <c r="I46" s="17">
        <f>IF(A46&lt;$E$17,0,MIN($C$17,($F$17*$G$17)*(A46-$E$17+1)))</f>
        <v/>
      </c>
      <c r="J46" s="17">
        <f>SUM(B46:I46)</f>
        <v/>
      </c>
      <c r="K46" s="17">
        <f>'Pilot districts'!$B$6-SUMPRODUCT(($E$10:$E$17&lt;=A46)*$C$10:$C$17)</f>
        <v/>
      </c>
    </row>
    <row r="47">
      <c r="A47" t="n">
        <v>25</v>
      </c>
      <c r="B47" s="17">
        <f>IF(A47&lt;$E$10,0,MIN($C$10,($F$10*$G$10)*(A47-$E$10+1)))</f>
        <v/>
      </c>
      <c r="C47" s="17">
        <f>IF(A47&lt;$E$11,0,MIN($C$11,($F$11*$G$11)*(A47-$E$11+1)))</f>
        <v/>
      </c>
      <c r="D47" s="17">
        <f>IF(A47&lt;$E$12,0,MIN($C$12,($F$12*$G$12)*(A47-$E$12+1)))</f>
        <v/>
      </c>
      <c r="E47" s="17">
        <f>IF(A47&lt;$E$13,0,MIN($C$13,($F$13*$G$13)*(A47-$E$13+1)))</f>
        <v/>
      </c>
      <c r="F47" s="17">
        <f>IF(A47&lt;$E$14,0,MIN($C$14,($F$14*$G$14)*(A47-$E$14+1)))</f>
        <v/>
      </c>
      <c r="G47" s="17">
        <f>IF(A47&lt;$E$15,0,MIN($C$15,($F$15*$G$15)*(A47-$E$15+1)))</f>
        <v/>
      </c>
      <c r="H47" s="17">
        <f>IF(A47&lt;$E$16,0,MIN($C$16,($F$16*$G$16)*(A47-$E$16+1)))</f>
        <v/>
      </c>
      <c r="I47" s="17">
        <f>IF(A47&lt;$E$17,0,MIN($C$17,($F$17*$G$17)*(A47-$E$17+1)))</f>
        <v/>
      </c>
      <c r="J47" s="17">
        <f>SUM(B47:I47)</f>
        <v/>
      </c>
      <c r="K47" s="17">
        <f>'Pilot districts'!$B$6-SUMPRODUCT(($E$10:$E$17&lt;=A47)*$C$10:$C$17)</f>
        <v/>
      </c>
    </row>
    <row r="48">
      <c r="A48" t="n">
        <v>26</v>
      </c>
      <c r="B48" s="17">
        <f>IF(A48&lt;$E$10,0,MIN($C$10,($F$10*$G$10)*(A48-$E$10+1)))</f>
        <v/>
      </c>
      <c r="C48" s="17">
        <f>IF(A48&lt;$E$11,0,MIN($C$11,($F$11*$G$11)*(A48-$E$11+1)))</f>
        <v/>
      </c>
      <c r="D48" s="17">
        <f>IF(A48&lt;$E$12,0,MIN($C$12,($F$12*$G$12)*(A48-$E$12+1)))</f>
        <v/>
      </c>
      <c r="E48" s="17">
        <f>IF(A48&lt;$E$13,0,MIN($C$13,($F$13*$G$13)*(A48-$E$13+1)))</f>
        <v/>
      </c>
      <c r="F48" s="17">
        <f>IF(A48&lt;$E$14,0,MIN($C$14,($F$14*$G$14)*(A48-$E$14+1)))</f>
        <v/>
      </c>
      <c r="G48" s="17">
        <f>IF(A48&lt;$E$15,0,MIN($C$15,($F$15*$G$15)*(A48-$E$15+1)))</f>
        <v/>
      </c>
      <c r="H48" s="17">
        <f>IF(A48&lt;$E$16,0,MIN($C$16,($F$16*$G$16)*(A48-$E$16+1)))</f>
        <v/>
      </c>
      <c r="I48" s="17">
        <f>IF(A48&lt;$E$17,0,MIN($C$17,($F$17*$G$17)*(A48-$E$17+1)))</f>
        <v/>
      </c>
      <c r="J48" s="17">
        <f>SUM(B48:I48)</f>
        <v/>
      </c>
      <c r="K48" s="17">
        <f>'Pilot districts'!$B$6-SUMPRODUCT(($E$10:$E$17&lt;=A48)*$C$10:$C$17)</f>
        <v/>
      </c>
    </row>
    <row r="49">
      <c r="A49" t="n">
        <v>27</v>
      </c>
      <c r="B49" s="17">
        <f>IF(A49&lt;$E$10,0,MIN($C$10,($F$10*$G$10)*(A49-$E$10+1)))</f>
        <v/>
      </c>
      <c r="C49" s="17">
        <f>IF(A49&lt;$E$11,0,MIN($C$11,($F$11*$G$11)*(A49-$E$11+1)))</f>
        <v/>
      </c>
      <c r="D49" s="17">
        <f>IF(A49&lt;$E$12,0,MIN($C$12,($F$12*$G$12)*(A49-$E$12+1)))</f>
        <v/>
      </c>
      <c r="E49" s="17">
        <f>IF(A49&lt;$E$13,0,MIN($C$13,($F$13*$G$13)*(A49-$E$13+1)))</f>
        <v/>
      </c>
      <c r="F49" s="17">
        <f>IF(A49&lt;$E$14,0,MIN($C$14,($F$14*$G$14)*(A49-$E$14+1)))</f>
        <v/>
      </c>
      <c r="G49" s="17">
        <f>IF(A49&lt;$E$15,0,MIN($C$15,($F$15*$G$15)*(A49-$E$15+1)))</f>
        <v/>
      </c>
      <c r="H49" s="17">
        <f>IF(A49&lt;$E$16,0,MIN($C$16,($F$16*$G$16)*(A49-$E$16+1)))</f>
        <v/>
      </c>
      <c r="I49" s="17">
        <f>IF(A49&lt;$E$17,0,MIN($C$17,($F$17*$G$17)*(A49-$E$17+1)))</f>
        <v/>
      </c>
      <c r="J49" s="17">
        <f>SUM(B49:I49)</f>
        <v/>
      </c>
      <c r="K49" s="17">
        <f>'Pilot districts'!$B$6-SUMPRODUCT(($E$10:$E$17&lt;=A49)*$C$10:$C$17)</f>
        <v/>
      </c>
    </row>
    <row r="50">
      <c r="A50" t="n">
        <v>28</v>
      </c>
      <c r="B50" s="17">
        <f>IF(A50&lt;$E$10,0,MIN($C$10,($F$10*$G$10)*(A50-$E$10+1)))</f>
        <v/>
      </c>
      <c r="C50" s="17">
        <f>IF(A50&lt;$E$11,0,MIN($C$11,($F$11*$G$11)*(A50-$E$11+1)))</f>
        <v/>
      </c>
      <c r="D50" s="17">
        <f>IF(A50&lt;$E$12,0,MIN($C$12,($F$12*$G$12)*(A50-$E$12+1)))</f>
        <v/>
      </c>
      <c r="E50" s="17">
        <f>IF(A50&lt;$E$13,0,MIN($C$13,($F$13*$G$13)*(A50-$E$13+1)))</f>
        <v/>
      </c>
      <c r="F50" s="17">
        <f>IF(A50&lt;$E$14,0,MIN($C$14,($F$14*$G$14)*(A50-$E$14+1)))</f>
        <v/>
      </c>
      <c r="G50" s="17">
        <f>IF(A50&lt;$E$15,0,MIN($C$15,($F$15*$G$15)*(A50-$E$15+1)))</f>
        <v/>
      </c>
      <c r="H50" s="17">
        <f>IF(A50&lt;$E$16,0,MIN($C$16,($F$16*$G$16)*(A50-$E$16+1)))</f>
        <v/>
      </c>
      <c r="I50" s="17">
        <f>IF(A50&lt;$E$17,0,MIN($C$17,($F$17*$G$17)*(A50-$E$17+1)))</f>
        <v/>
      </c>
      <c r="J50" s="17">
        <f>SUM(B50:I50)</f>
        <v/>
      </c>
      <c r="K50" s="17">
        <f>'Pilot districts'!$B$6-SUMPRODUCT(($E$10:$E$17&lt;=A50)*$C$10:$C$17)</f>
        <v/>
      </c>
    </row>
    <row r="51">
      <c r="A51" t="n">
        <v>29</v>
      </c>
      <c r="B51" s="17">
        <f>IF(A51&lt;$E$10,0,MIN($C$10,($F$10*$G$10)*(A51-$E$10+1)))</f>
        <v/>
      </c>
      <c r="C51" s="17">
        <f>IF(A51&lt;$E$11,0,MIN($C$11,($F$11*$G$11)*(A51-$E$11+1)))</f>
        <v/>
      </c>
      <c r="D51" s="17">
        <f>IF(A51&lt;$E$12,0,MIN($C$12,($F$12*$G$12)*(A51-$E$12+1)))</f>
        <v/>
      </c>
      <c r="E51" s="17">
        <f>IF(A51&lt;$E$13,0,MIN($C$13,($F$13*$G$13)*(A51-$E$13+1)))</f>
        <v/>
      </c>
      <c r="F51" s="17">
        <f>IF(A51&lt;$E$14,0,MIN($C$14,($F$14*$G$14)*(A51-$E$14+1)))</f>
        <v/>
      </c>
      <c r="G51" s="17">
        <f>IF(A51&lt;$E$15,0,MIN($C$15,($F$15*$G$15)*(A51-$E$15+1)))</f>
        <v/>
      </c>
      <c r="H51" s="17">
        <f>IF(A51&lt;$E$16,0,MIN($C$16,($F$16*$G$16)*(A51-$E$16+1)))</f>
        <v/>
      </c>
      <c r="I51" s="17">
        <f>IF(A51&lt;$E$17,0,MIN($C$17,($F$17*$G$17)*(A51-$E$17+1)))</f>
        <v/>
      </c>
      <c r="J51" s="17">
        <f>SUM(B51:I51)</f>
        <v/>
      </c>
      <c r="K51" s="17">
        <f>'Pilot districts'!$B$6-SUMPRODUCT(($E$10:$E$17&lt;=A51)*$C$10:$C$17)</f>
        <v/>
      </c>
    </row>
    <row r="52">
      <c r="A52" t="n">
        <v>30</v>
      </c>
      <c r="B52" s="17">
        <f>IF(A52&lt;$E$10,0,MIN($C$10,($F$10*$G$10)*(A52-$E$10+1)))</f>
        <v/>
      </c>
      <c r="C52" s="17">
        <f>IF(A52&lt;$E$11,0,MIN($C$11,($F$11*$G$11)*(A52-$E$11+1)))</f>
        <v/>
      </c>
      <c r="D52" s="17">
        <f>IF(A52&lt;$E$12,0,MIN($C$12,($F$12*$G$12)*(A52-$E$12+1)))</f>
        <v/>
      </c>
      <c r="E52" s="17">
        <f>IF(A52&lt;$E$13,0,MIN($C$13,($F$13*$G$13)*(A52-$E$13+1)))</f>
        <v/>
      </c>
      <c r="F52" s="17">
        <f>IF(A52&lt;$E$14,0,MIN($C$14,($F$14*$G$14)*(A52-$E$14+1)))</f>
        <v/>
      </c>
      <c r="G52" s="17">
        <f>IF(A52&lt;$E$15,0,MIN($C$15,($F$15*$G$15)*(A52-$E$15+1)))</f>
        <v/>
      </c>
      <c r="H52" s="17">
        <f>IF(A52&lt;$E$16,0,MIN($C$16,($F$16*$G$16)*(A52-$E$16+1)))</f>
        <v/>
      </c>
      <c r="I52" s="17">
        <f>IF(A52&lt;$E$17,0,MIN($C$17,($F$17*$G$17)*(A52-$E$17+1)))</f>
        <v/>
      </c>
      <c r="J52" s="17">
        <f>SUM(B52:I52)</f>
        <v/>
      </c>
      <c r="K52" s="17">
        <f>'Pilot districts'!$B$6-SUMPRODUCT(($E$10:$E$17&lt;=A52)*$C$10:$C$17)</f>
        <v/>
      </c>
    </row>
    <row r="53">
      <c r="A53" t="n">
        <v>31</v>
      </c>
      <c r="B53" s="17">
        <f>IF(A53&lt;$E$10,0,MIN($C$10,($F$10*$G$10)*(A53-$E$10+1)))</f>
        <v/>
      </c>
      <c r="C53" s="17">
        <f>IF(A53&lt;$E$11,0,MIN($C$11,($F$11*$G$11)*(A53-$E$11+1)))</f>
        <v/>
      </c>
      <c r="D53" s="17">
        <f>IF(A53&lt;$E$12,0,MIN($C$12,($F$12*$G$12)*(A53-$E$12+1)))</f>
        <v/>
      </c>
      <c r="E53" s="17">
        <f>IF(A53&lt;$E$13,0,MIN($C$13,($F$13*$G$13)*(A53-$E$13+1)))</f>
        <v/>
      </c>
      <c r="F53" s="17">
        <f>IF(A53&lt;$E$14,0,MIN($C$14,($F$14*$G$14)*(A53-$E$14+1)))</f>
        <v/>
      </c>
      <c r="G53" s="17">
        <f>IF(A53&lt;$E$15,0,MIN($C$15,($F$15*$G$15)*(A53-$E$15+1)))</f>
        <v/>
      </c>
      <c r="H53" s="17">
        <f>IF(A53&lt;$E$16,0,MIN($C$16,($F$16*$G$16)*(A53-$E$16+1)))</f>
        <v/>
      </c>
      <c r="I53" s="17">
        <f>IF(A53&lt;$E$17,0,MIN($C$17,($F$17*$G$17)*(A53-$E$17+1)))</f>
        <v/>
      </c>
      <c r="J53" s="17">
        <f>SUM(B53:I53)</f>
        <v/>
      </c>
      <c r="K53" s="17">
        <f>'Pilot districts'!$B$6-SUMPRODUCT(($E$10:$E$17&lt;=A53)*$C$10:$C$17)</f>
        <v/>
      </c>
    </row>
    <row r="54">
      <c r="A54" t="n">
        <v>32</v>
      </c>
      <c r="B54" s="17">
        <f>IF(A54&lt;$E$10,0,MIN($C$10,($F$10*$G$10)*(A54-$E$10+1)))</f>
        <v/>
      </c>
      <c r="C54" s="17">
        <f>IF(A54&lt;$E$11,0,MIN($C$11,($F$11*$G$11)*(A54-$E$11+1)))</f>
        <v/>
      </c>
      <c r="D54" s="17">
        <f>IF(A54&lt;$E$12,0,MIN($C$12,($F$12*$G$12)*(A54-$E$12+1)))</f>
        <v/>
      </c>
      <c r="E54" s="17">
        <f>IF(A54&lt;$E$13,0,MIN($C$13,($F$13*$G$13)*(A54-$E$13+1)))</f>
        <v/>
      </c>
      <c r="F54" s="17">
        <f>IF(A54&lt;$E$14,0,MIN($C$14,($F$14*$G$14)*(A54-$E$14+1)))</f>
        <v/>
      </c>
      <c r="G54" s="17">
        <f>IF(A54&lt;$E$15,0,MIN($C$15,($F$15*$G$15)*(A54-$E$15+1)))</f>
        <v/>
      </c>
      <c r="H54" s="17">
        <f>IF(A54&lt;$E$16,0,MIN($C$16,($F$16*$G$16)*(A54-$E$16+1)))</f>
        <v/>
      </c>
      <c r="I54" s="17">
        <f>IF(A54&lt;$E$17,0,MIN($C$17,($F$17*$G$17)*(A54-$E$17+1)))</f>
        <v/>
      </c>
      <c r="J54" s="17">
        <f>SUM(B54:I54)</f>
        <v/>
      </c>
      <c r="K54" s="17">
        <f>'Pilot districts'!$B$6-SUMPRODUCT(($E$10:$E$17&lt;=A54)*$C$10:$C$17)</f>
        <v/>
      </c>
    </row>
    <row r="55">
      <c r="A55" t="n">
        <v>33</v>
      </c>
      <c r="B55" s="17">
        <f>IF(A55&lt;$E$10,0,MIN($C$10,($F$10*$G$10)*(A55-$E$10+1)))</f>
        <v/>
      </c>
      <c r="C55" s="17">
        <f>IF(A55&lt;$E$11,0,MIN($C$11,($F$11*$G$11)*(A55-$E$11+1)))</f>
        <v/>
      </c>
      <c r="D55" s="17">
        <f>IF(A55&lt;$E$12,0,MIN($C$12,($F$12*$G$12)*(A55-$E$12+1)))</f>
        <v/>
      </c>
      <c r="E55" s="17">
        <f>IF(A55&lt;$E$13,0,MIN($C$13,($F$13*$G$13)*(A55-$E$13+1)))</f>
        <v/>
      </c>
      <c r="F55" s="17">
        <f>IF(A55&lt;$E$14,0,MIN($C$14,($F$14*$G$14)*(A55-$E$14+1)))</f>
        <v/>
      </c>
      <c r="G55" s="17">
        <f>IF(A55&lt;$E$15,0,MIN($C$15,($F$15*$G$15)*(A55-$E$15+1)))</f>
        <v/>
      </c>
      <c r="H55" s="17">
        <f>IF(A55&lt;$E$16,0,MIN($C$16,($F$16*$G$16)*(A55-$E$16+1)))</f>
        <v/>
      </c>
      <c r="I55" s="17">
        <f>IF(A55&lt;$E$17,0,MIN($C$17,($F$17*$G$17)*(A55-$E$17+1)))</f>
        <v/>
      </c>
      <c r="J55" s="17">
        <f>SUM(B55:I55)</f>
        <v/>
      </c>
      <c r="K55" s="17">
        <f>'Pilot districts'!$B$6-SUMPRODUCT(($E$10:$E$17&lt;=A55)*$C$10:$C$17)</f>
        <v/>
      </c>
    </row>
    <row r="56">
      <c r="A56" t="n">
        <v>34</v>
      </c>
      <c r="B56" s="17">
        <f>IF(A56&lt;$E$10,0,MIN($C$10,($F$10*$G$10)*(A56-$E$10+1)))</f>
        <v/>
      </c>
      <c r="C56" s="17">
        <f>IF(A56&lt;$E$11,0,MIN($C$11,($F$11*$G$11)*(A56-$E$11+1)))</f>
        <v/>
      </c>
      <c r="D56" s="17">
        <f>IF(A56&lt;$E$12,0,MIN($C$12,($F$12*$G$12)*(A56-$E$12+1)))</f>
        <v/>
      </c>
      <c r="E56" s="17">
        <f>IF(A56&lt;$E$13,0,MIN($C$13,($F$13*$G$13)*(A56-$E$13+1)))</f>
        <v/>
      </c>
      <c r="F56" s="17">
        <f>IF(A56&lt;$E$14,0,MIN($C$14,($F$14*$G$14)*(A56-$E$14+1)))</f>
        <v/>
      </c>
      <c r="G56" s="17">
        <f>IF(A56&lt;$E$15,0,MIN($C$15,($F$15*$G$15)*(A56-$E$15+1)))</f>
        <v/>
      </c>
      <c r="H56" s="17">
        <f>IF(A56&lt;$E$16,0,MIN($C$16,($F$16*$G$16)*(A56-$E$16+1)))</f>
        <v/>
      </c>
      <c r="I56" s="17">
        <f>IF(A56&lt;$E$17,0,MIN($C$17,($F$17*$G$17)*(A56-$E$17+1)))</f>
        <v/>
      </c>
      <c r="J56" s="17">
        <f>SUM(B56:I56)</f>
        <v/>
      </c>
      <c r="K56" s="17">
        <f>'Pilot districts'!$B$6-SUMPRODUCT(($E$10:$E$17&lt;=A56)*$C$10:$C$17)</f>
        <v/>
      </c>
    </row>
    <row r="57">
      <c r="A57" t="n">
        <v>35</v>
      </c>
      <c r="B57" s="17">
        <f>IF(A57&lt;$E$10,0,MIN($C$10,($F$10*$G$10)*(A57-$E$10+1)))</f>
        <v/>
      </c>
      <c r="C57" s="17">
        <f>IF(A57&lt;$E$11,0,MIN($C$11,($F$11*$G$11)*(A57-$E$11+1)))</f>
        <v/>
      </c>
      <c r="D57" s="17">
        <f>IF(A57&lt;$E$12,0,MIN($C$12,($F$12*$G$12)*(A57-$E$12+1)))</f>
        <v/>
      </c>
      <c r="E57" s="17">
        <f>IF(A57&lt;$E$13,0,MIN($C$13,($F$13*$G$13)*(A57-$E$13+1)))</f>
        <v/>
      </c>
      <c r="F57" s="17">
        <f>IF(A57&lt;$E$14,0,MIN($C$14,($F$14*$G$14)*(A57-$E$14+1)))</f>
        <v/>
      </c>
      <c r="G57" s="17">
        <f>IF(A57&lt;$E$15,0,MIN($C$15,($F$15*$G$15)*(A57-$E$15+1)))</f>
        <v/>
      </c>
      <c r="H57" s="17">
        <f>IF(A57&lt;$E$16,0,MIN($C$16,($F$16*$G$16)*(A57-$E$16+1)))</f>
        <v/>
      </c>
      <c r="I57" s="17">
        <f>IF(A57&lt;$E$17,0,MIN($C$17,($F$17*$G$17)*(A57-$E$17+1)))</f>
        <v/>
      </c>
      <c r="J57" s="17">
        <f>SUM(B57:I57)</f>
        <v/>
      </c>
      <c r="K57" s="17">
        <f>'Pilot districts'!$B$6-SUMPRODUCT(($E$10:$E$17&lt;=A57)*$C$10:$C$17)</f>
        <v/>
      </c>
    </row>
    <row r="58">
      <c r="A58" t="n">
        <v>36</v>
      </c>
      <c r="B58" s="17">
        <f>IF(A58&lt;$E$10,0,MIN($C$10,($F$10*$G$10)*(A58-$E$10+1)))</f>
        <v/>
      </c>
      <c r="C58" s="17">
        <f>IF(A58&lt;$E$11,0,MIN($C$11,($F$11*$G$11)*(A58-$E$11+1)))</f>
        <v/>
      </c>
      <c r="D58" s="17">
        <f>IF(A58&lt;$E$12,0,MIN($C$12,($F$12*$G$12)*(A58-$E$12+1)))</f>
        <v/>
      </c>
      <c r="E58" s="17">
        <f>IF(A58&lt;$E$13,0,MIN($C$13,($F$13*$G$13)*(A58-$E$13+1)))</f>
        <v/>
      </c>
      <c r="F58" s="17">
        <f>IF(A58&lt;$E$14,0,MIN($C$14,($F$14*$G$14)*(A58-$E$14+1)))</f>
        <v/>
      </c>
      <c r="G58" s="17">
        <f>IF(A58&lt;$E$15,0,MIN($C$15,($F$15*$G$15)*(A58-$E$15+1)))</f>
        <v/>
      </c>
      <c r="H58" s="17">
        <f>IF(A58&lt;$E$16,0,MIN($C$16,($F$16*$G$16)*(A58-$E$16+1)))</f>
        <v/>
      </c>
      <c r="I58" s="17">
        <f>IF(A58&lt;$E$17,0,MIN($C$17,($F$17*$G$17)*(A58-$E$17+1)))</f>
        <v/>
      </c>
      <c r="J58" s="17">
        <f>SUM(B58:I58)</f>
        <v/>
      </c>
      <c r="K58" s="17">
        <f>'Pilot districts'!$B$6-SUMPRODUCT(($E$10:$E$17&lt;=A58)*$C$10:$C$17)</f>
        <v/>
      </c>
    </row>
    <row r="59">
      <c r="A59" t="n">
        <v>37</v>
      </c>
      <c r="B59" s="17">
        <f>IF(A59&lt;$E$10,0,MIN($C$10,($F$10*$G$10)*(A59-$E$10+1)))</f>
        <v/>
      </c>
      <c r="C59" s="17">
        <f>IF(A59&lt;$E$11,0,MIN($C$11,($F$11*$G$11)*(A59-$E$11+1)))</f>
        <v/>
      </c>
      <c r="D59" s="17">
        <f>IF(A59&lt;$E$12,0,MIN($C$12,($F$12*$G$12)*(A59-$E$12+1)))</f>
        <v/>
      </c>
      <c r="E59" s="17">
        <f>IF(A59&lt;$E$13,0,MIN($C$13,($F$13*$G$13)*(A59-$E$13+1)))</f>
        <v/>
      </c>
      <c r="F59" s="17">
        <f>IF(A59&lt;$E$14,0,MIN($C$14,($F$14*$G$14)*(A59-$E$14+1)))</f>
        <v/>
      </c>
      <c r="G59" s="17">
        <f>IF(A59&lt;$E$15,0,MIN($C$15,($F$15*$G$15)*(A59-$E$15+1)))</f>
        <v/>
      </c>
      <c r="H59" s="17">
        <f>IF(A59&lt;$E$16,0,MIN($C$16,($F$16*$G$16)*(A59-$E$16+1)))</f>
        <v/>
      </c>
      <c r="I59" s="17">
        <f>IF(A59&lt;$E$17,0,MIN($C$17,($F$17*$G$17)*(A59-$E$17+1)))</f>
        <v/>
      </c>
      <c r="J59" s="17">
        <f>SUM(B59:I59)</f>
        <v/>
      </c>
      <c r="K59" s="17">
        <f>'Pilot districts'!$B$6-SUMPRODUCT(($E$10:$E$17&lt;=A59)*$C$10:$C$17)</f>
        <v/>
      </c>
    </row>
    <row r="60">
      <c r="A60" t="n">
        <v>38</v>
      </c>
      <c r="B60" s="17">
        <f>IF(A60&lt;$E$10,0,MIN($C$10,($F$10*$G$10)*(A60-$E$10+1)))</f>
        <v/>
      </c>
      <c r="C60" s="17">
        <f>IF(A60&lt;$E$11,0,MIN($C$11,($F$11*$G$11)*(A60-$E$11+1)))</f>
        <v/>
      </c>
      <c r="D60" s="17">
        <f>IF(A60&lt;$E$12,0,MIN($C$12,($F$12*$G$12)*(A60-$E$12+1)))</f>
        <v/>
      </c>
      <c r="E60" s="17">
        <f>IF(A60&lt;$E$13,0,MIN($C$13,($F$13*$G$13)*(A60-$E$13+1)))</f>
        <v/>
      </c>
      <c r="F60" s="17">
        <f>IF(A60&lt;$E$14,0,MIN($C$14,($F$14*$G$14)*(A60-$E$14+1)))</f>
        <v/>
      </c>
      <c r="G60" s="17">
        <f>IF(A60&lt;$E$15,0,MIN($C$15,($F$15*$G$15)*(A60-$E$15+1)))</f>
        <v/>
      </c>
      <c r="H60" s="17">
        <f>IF(A60&lt;$E$16,0,MIN($C$16,($F$16*$G$16)*(A60-$E$16+1)))</f>
        <v/>
      </c>
      <c r="I60" s="17">
        <f>IF(A60&lt;$E$17,0,MIN($C$17,($F$17*$G$17)*(A60-$E$17+1)))</f>
        <v/>
      </c>
      <c r="J60" s="17">
        <f>SUM(B60:I60)</f>
        <v/>
      </c>
      <c r="K60" s="17">
        <f>'Pilot districts'!$B$6-SUMPRODUCT(($E$10:$E$17&lt;=A60)*$C$10:$C$17)</f>
        <v/>
      </c>
    </row>
    <row r="61">
      <c r="A61" t="n">
        <v>39</v>
      </c>
      <c r="B61" s="17">
        <f>IF(A61&lt;$E$10,0,MIN($C$10,($F$10*$G$10)*(A61-$E$10+1)))</f>
        <v/>
      </c>
      <c r="C61" s="17">
        <f>IF(A61&lt;$E$11,0,MIN($C$11,($F$11*$G$11)*(A61-$E$11+1)))</f>
        <v/>
      </c>
      <c r="D61" s="17">
        <f>IF(A61&lt;$E$12,0,MIN($C$12,($F$12*$G$12)*(A61-$E$12+1)))</f>
        <v/>
      </c>
      <c r="E61" s="17">
        <f>IF(A61&lt;$E$13,0,MIN($C$13,($F$13*$G$13)*(A61-$E$13+1)))</f>
        <v/>
      </c>
      <c r="F61" s="17">
        <f>IF(A61&lt;$E$14,0,MIN($C$14,($F$14*$G$14)*(A61-$E$14+1)))</f>
        <v/>
      </c>
      <c r="G61" s="17">
        <f>IF(A61&lt;$E$15,0,MIN($C$15,($F$15*$G$15)*(A61-$E$15+1)))</f>
        <v/>
      </c>
      <c r="H61" s="17">
        <f>IF(A61&lt;$E$16,0,MIN($C$16,($F$16*$G$16)*(A61-$E$16+1)))</f>
        <v/>
      </c>
      <c r="I61" s="17">
        <f>IF(A61&lt;$E$17,0,MIN($C$17,($F$17*$G$17)*(A61-$E$17+1)))</f>
        <v/>
      </c>
      <c r="J61" s="17">
        <f>SUM(B61:I61)</f>
        <v/>
      </c>
      <c r="K61" s="17">
        <f>'Pilot districts'!$B$6-SUMPRODUCT(($E$10:$E$17&lt;=A61)*$C$10:$C$17)</f>
        <v/>
      </c>
    </row>
    <row r="62">
      <c r="A62" t="n">
        <v>40</v>
      </c>
      <c r="B62" s="17">
        <f>IF(A62&lt;$E$10,0,MIN($C$10,($F$10*$G$10)*(A62-$E$10+1)))</f>
        <v/>
      </c>
      <c r="C62" s="17">
        <f>IF(A62&lt;$E$11,0,MIN($C$11,($F$11*$G$11)*(A62-$E$11+1)))</f>
        <v/>
      </c>
      <c r="D62" s="17">
        <f>IF(A62&lt;$E$12,0,MIN($C$12,($F$12*$G$12)*(A62-$E$12+1)))</f>
        <v/>
      </c>
      <c r="E62" s="17">
        <f>IF(A62&lt;$E$13,0,MIN($C$13,($F$13*$G$13)*(A62-$E$13+1)))</f>
        <v/>
      </c>
      <c r="F62" s="17">
        <f>IF(A62&lt;$E$14,0,MIN($C$14,($F$14*$G$14)*(A62-$E$14+1)))</f>
        <v/>
      </c>
      <c r="G62" s="17">
        <f>IF(A62&lt;$E$15,0,MIN($C$15,($F$15*$G$15)*(A62-$E$15+1)))</f>
        <v/>
      </c>
      <c r="H62" s="17">
        <f>IF(A62&lt;$E$16,0,MIN($C$16,($F$16*$G$16)*(A62-$E$16+1)))</f>
        <v/>
      </c>
      <c r="I62" s="17">
        <f>IF(A62&lt;$E$17,0,MIN($C$17,($F$17*$G$17)*(A62-$E$17+1)))</f>
        <v/>
      </c>
      <c r="J62" s="17">
        <f>SUM(B62:I62)</f>
        <v/>
      </c>
      <c r="K62" s="17">
        <f>'Pilot districts'!$B$6-SUMPRODUCT(($E$10:$E$17&lt;=A62)*$C$10:$C$17)</f>
        <v/>
      </c>
    </row>
    <row r="63">
      <c r="A63" t="n">
        <v>41</v>
      </c>
      <c r="B63" s="17">
        <f>IF(A63&lt;$E$10,0,MIN($C$10,($F$10*$G$10)*(A63-$E$10+1)))</f>
        <v/>
      </c>
      <c r="C63" s="17">
        <f>IF(A63&lt;$E$11,0,MIN($C$11,($F$11*$G$11)*(A63-$E$11+1)))</f>
        <v/>
      </c>
      <c r="D63" s="17">
        <f>IF(A63&lt;$E$12,0,MIN($C$12,($F$12*$G$12)*(A63-$E$12+1)))</f>
        <v/>
      </c>
      <c r="E63" s="17">
        <f>IF(A63&lt;$E$13,0,MIN($C$13,($F$13*$G$13)*(A63-$E$13+1)))</f>
        <v/>
      </c>
      <c r="F63" s="17">
        <f>IF(A63&lt;$E$14,0,MIN($C$14,($F$14*$G$14)*(A63-$E$14+1)))</f>
        <v/>
      </c>
      <c r="G63" s="17">
        <f>IF(A63&lt;$E$15,0,MIN($C$15,($F$15*$G$15)*(A63-$E$15+1)))</f>
        <v/>
      </c>
      <c r="H63" s="17">
        <f>IF(A63&lt;$E$16,0,MIN($C$16,($F$16*$G$16)*(A63-$E$16+1)))</f>
        <v/>
      </c>
      <c r="I63" s="17">
        <f>IF(A63&lt;$E$17,0,MIN($C$17,($F$17*$G$17)*(A63-$E$17+1)))</f>
        <v/>
      </c>
      <c r="J63" s="17">
        <f>SUM(B63:I63)</f>
        <v/>
      </c>
      <c r="K63" s="17">
        <f>'Pilot districts'!$B$6-SUMPRODUCT(($E$10:$E$17&lt;=A63)*$C$10:$C$17)</f>
        <v/>
      </c>
    </row>
    <row r="64">
      <c r="A64" t="n">
        <v>42</v>
      </c>
      <c r="B64" s="17">
        <f>IF(A64&lt;$E$10,0,MIN($C$10,($F$10*$G$10)*(A64-$E$10+1)))</f>
        <v/>
      </c>
      <c r="C64" s="17">
        <f>IF(A64&lt;$E$11,0,MIN($C$11,($F$11*$G$11)*(A64-$E$11+1)))</f>
        <v/>
      </c>
      <c r="D64" s="17">
        <f>IF(A64&lt;$E$12,0,MIN($C$12,($F$12*$G$12)*(A64-$E$12+1)))</f>
        <v/>
      </c>
      <c r="E64" s="17">
        <f>IF(A64&lt;$E$13,0,MIN($C$13,($F$13*$G$13)*(A64-$E$13+1)))</f>
        <v/>
      </c>
      <c r="F64" s="17">
        <f>IF(A64&lt;$E$14,0,MIN($C$14,($F$14*$G$14)*(A64-$E$14+1)))</f>
        <v/>
      </c>
      <c r="G64" s="17">
        <f>IF(A64&lt;$E$15,0,MIN($C$15,($F$15*$G$15)*(A64-$E$15+1)))</f>
        <v/>
      </c>
      <c r="H64" s="17">
        <f>IF(A64&lt;$E$16,0,MIN($C$16,($F$16*$G$16)*(A64-$E$16+1)))</f>
        <v/>
      </c>
      <c r="I64" s="17">
        <f>IF(A64&lt;$E$17,0,MIN($C$17,($F$17*$G$17)*(A64-$E$17+1)))</f>
        <v/>
      </c>
      <c r="J64" s="17">
        <f>SUM(B64:I64)</f>
        <v/>
      </c>
      <c r="K64" s="17">
        <f>'Pilot districts'!$B$6-SUMPRODUCT(($E$10:$E$17&lt;=A64)*$C$10:$C$17)</f>
        <v/>
      </c>
    </row>
    <row r="65">
      <c r="A65" t="n">
        <v>43</v>
      </c>
      <c r="B65" s="17">
        <f>IF(A65&lt;$E$10,0,MIN($C$10,($F$10*$G$10)*(A65-$E$10+1)))</f>
        <v/>
      </c>
      <c r="C65" s="17">
        <f>IF(A65&lt;$E$11,0,MIN($C$11,($F$11*$G$11)*(A65-$E$11+1)))</f>
        <v/>
      </c>
      <c r="D65" s="17">
        <f>IF(A65&lt;$E$12,0,MIN($C$12,($F$12*$G$12)*(A65-$E$12+1)))</f>
        <v/>
      </c>
      <c r="E65" s="17">
        <f>IF(A65&lt;$E$13,0,MIN($C$13,($F$13*$G$13)*(A65-$E$13+1)))</f>
        <v/>
      </c>
      <c r="F65" s="17">
        <f>IF(A65&lt;$E$14,0,MIN($C$14,($F$14*$G$14)*(A65-$E$14+1)))</f>
        <v/>
      </c>
      <c r="G65" s="17">
        <f>IF(A65&lt;$E$15,0,MIN($C$15,($F$15*$G$15)*(A65-$E$15+1)))</f>
        <v/>
      </c>
      <c r="H65" s="17">
        <f>IF(A65&lt;$E$16,0,MIN($C$16,($F$16*$G$16)*(A65-$E$16+1)))</f>
        <v/>
      </c>
      <c r="I65" s="17">
        <f>IF(A65&lt;$E$17,0,MIN($C$17,($F$17*$G$17)*(A65-$E$17+1)))</f>
        <v/>
      </c>
      <c r="J65" s="17">
        <f>SUM(B65:I65)</f>
        <v/>
      </c>
      <c r="K65" s="17">
        <f>'Pilot districts'!$B$6-SUMPRODUCT(($E$10:$E$17&lt;=A65)*$C$10:$C$17)</f>
        <v/>
      </c>
    </row>
    <row r="66">
      <c r="A66" t="n">
        <v>44</v>
      </c>
      <c r="B66" s="17">
        <f>IF(A66&lt;$E$10,0,MIN($C$10,($F$10*$G$10)*(A66-$E$10+1)))</f>
        <v/>
      </c>
      <c r="C66" s="17">
        <f>IF(A66&lt;$E$11,0,MIN($C$11,($F$11*$G$11)*(A66-$E$11+1)))</f>
        <v/>
      </c>
      <c r="D66" s="17">
        <f>IF(A66&lt;$E$12,0,MIN($C$12,($F$12*$G$12)*(A66-$E$12+1)))</f>
        <v/>
      </c>
      <c r="E66" s="17">
        <f>IF(A66&lt;$E$13,0,MIN($C$13,($F$13*$G$13)*(A66-$E$13+1)))</f>
        <v/>
      </c>
      <c r="F66" s="17">
        <f>IF(A66&lt;$E$14,0,MIN($C$14,($F$14*$G$14)*(A66-$E$14+1)))</f>
        <v/>
      </c>
      <c r="G66" s="17">
        <f>IF(A66&lt;$E$15,0,MIN($C$15,($F$15*$G$15)*(A66-$E$15+1)))</f>
        <v/>
      </c>
      <c r="H66" s="17">
        <f>IF(A66&lt;$E$16,0,MIN($C$16,($F$16*$G$16)*(A66-$E$16+1)))</f>
        <v/>
      </c>
      <c r="I66" s="17">
        <f>IF(A66&lt;$E$17,0,MIN($C$17,($F$17*$G$17)*(A66-$E$17+1)))</f>
        <v/>
      </c>
      <c r="J66" s="17">
        <f>SUM(B66:I66)</f>
        <v/>
      </c>
      <c r="K66" s="17">
        <f>'Pilot districts'!$B$6-SUMPRODUCT(($E$10:$E$17&lt;=A66)*$C$10:$C$17)</f>
        <v/>
      </c>
    </row>
    <row r="67">
      <c r="A67" t="n">
        <v>45</v>
      </c>
      <c r="B67" s="17">
        <f>IF(A67&lt;$E$10,0,MIN($C$10,($F$10*$G$10)*(A67-$E$10+1)))</f>
        <v/>
      </c>
      <c r="C67" s="17">
        <f>IF(A67&lt;$E$11,0,MIN($C$11,($F$11*$G$11)*(A67-$E$11+1)))</f>
        <v/>
      </c>
      <c r="D67" s="17">
        <f>IF(A67&lt;$E$12,0,MIN($C$12,($F$12*$G$12)*(A67-$E$12+1)))</f>
        <v/>
      </c>
      <c r="E67" s="17">
        <f>IF(A67&lt;$E$13,0,MIN($C$13,($F$13*$G$13)*(A67-$E$13+1)))</f>
        <v/>
      </c>
      <c r="F67" s="17">
        <f>IF(A67&lt;$E$14,0,MIN($C$14,($F$14*$G$14)*(A67-$E$14+1)))</f>
        <v/>
      </c>
      <c r="G67" s="17">
        <f>IF(A67&lt;$E$15,0,MIN($C$15,($F$15*$G$15)*(A67-$E$15+1)))</f>
        <v/>
      </c>
      <c r="H67" s="17">
        <f>IF(A67&lt;$E$16,0,MIN($C$16,($F$16*$G$16)*(A67-$E$16+1)))</f>
        <v/>
      </c>
      <c r="I67" s="17">
        <f>IF(A67&lt;$E$17,0,MIN($C$17,($F$17*$G$17)*(A67-$E$17+1)))</f>
        <v/>
      </c>
      <c r="J67" s="17">
        <f>SUM(B67:I67)</f>
        <v/>
      </c>
      <c r="K67" s="17">
        <f>'Pilot districts'!$B$6-SUMPRODUCT(($E$10:$E$17&lt;=A67)*$C$10:$C$17)</f>
        <v/>
      </c>
    </row>
    <row r="68">
      <c r="A68" t="n">
        <v>46</v>
      </c>
      <c r="B68" s="17">
        <f>IF(A68&lt;$E$10,0,MIN($C$10,($F$10*$G$10)*(A68-$E$10+1)))</f>
        <v/>
      </c>
      <c r="C68" s="17">
        <f>IF(A68&lt;$E$11,0,MIN($C$11,($F$11*$G$11)*(A68-$E$11+1)))</f>
        <v/>
      </c>
      <c r="D68" s="17">
        <f>IF(A68&lt;$E$12,0,MIN($C$12,($F$12*$G$12)*(A68-$E$12+1)))</f>
        <v/>
      </c>
      <c r="E68" s="17">
        <f>IF(A68&lt;$E$13,0,MIN($C$13,($F$13*$G$13)*(A68-$E$13+1)))</f>
        <v/>
      </c>
      <c r="F68" s="17">
        <f>IF(A68&lt;$E$14,0,MIN($C$14,($F$14*$G$14)*(A68-$E$14+1)))</f>
        <v/>
      </c>
      <c r="G68" s="17">
        <f>IF(A68&lt;$E$15,0,MIN($C$15,($F$15*$G$15)*(A68-$E$15+1)))</f>
        <v/>
      </c>
      <c r="H68" s="17">
        <f>IF(A68&lt;$E$16,0,MIN($C$16,($F$16*$G$16)*(A68-$E$16+1)))</f>
        <v/>
      </c>
      <c r="I68" s="17">
        <f>IF(A68&lt;$E$17,0,MIN($C$17,($F$17*$G$17)*(A68-$E$17+1)))</f>
        <v/>
      </c>
      <c r="J68" s="17">
        <f>SUM(B68:I68)</f>
        <v/>
      </c>
      <c r="K68" s="17">
        <f>'Pilot districts'!$B$6-SUMPRODUCT(($E$10:$E$17&lt;=A68)*$C$10:$C$17)</f>
        <v/>
      </c>
    </row>
    <row r="69">
      <c r="A69" t="n">
        <v>47</v>
      </c>
      <c r="B69" s="17">
        <f>IF(A69&lt;$E$10,0,MIN($C$10,($F$10*$G$10)*(A69-$E$10+1)))</f>
        <v/>
      </c>
      <c r="C69" s="17">
        <f>IF(A69&lt;$E$11,0,MIN($C$11,($F$11*$G$11)*(A69-$E$11+1)))</f>
        <v/>
      </c>
      <c r="D69" s="17">
        <f>IF(A69&lt;$E$12,0,MIN($C$12,($F$12*$G$12)*(A69-$E$12+1)))</f>
        <v/>
      </c>
      <c r="E69" s="17">
        <f>IF(A69&lt;$E$13,0,MIN($C$13,($F$13*$G$13)*(A69-$E$13+1)))</f>
        <v/>
      </c>
      <c r="F69" s="17">
        <f>IF(A69&lt;$E$14,0,MIN($C$14,($F$14*$G$14)*(A69-$E$14+1)))</f>
        <v/>
      </c>
      <c r="G69" s="17">
        <f>IF(A69&lt;$E$15,0,MIN($C$15,($F$15*$G$15)*(A69-$E$15+1)))</f>
        <v/>
      </c>
      <c r="H69" s="17">
        <f>IF(A69&lt;$E$16,0,MIN($C$16,($F$16*$G$16)*(A69-$E$16+1)))</f>
        <v/>
      </c>
      <c r="I69" s="17">
        <f>IF(A69&lt;$E$17,0,MIN($C$17,($F$17*$G$17)*(A69-$E$17+1)))</f>
        <v/>
      </c>
      <c r="J69" s="17">
        <f>SUM(B69:I69)</f>
        <v/>
      </c>
      <c r="K69" s="17">
        <f>'Pilot districts'!$B$6-SUMPRODUCT(($E$10:$E$17&lt;=A69)*$C$10:$C$17)</f>
        <v/>
      </c>
    </row>
    <row r="70">
      <c r="A70" t="n">
        <v>48</v>
      </c>
      <c r="B70" s="17">
        <f>IF(A70&lt;$E$10,0,MIN($C$10,($F$10*$G$10)*(A70-$E$10+1)))</f>
        <v/>
      </c>
      <c r="C70" s="17">
        <f>IF(A70&lt;$E$11,0,MIN($C$11,($F$11*$G$11)*(A70-$E$11+1)))</f>
        <v/>
      </c>
      <c r="D70" s="17">
        <f>IF(A70&lt;$E$12,0,MIN($C$12,($F$12*$G$12)*(A70-$E$12+1)))</f>
        <v/>
      </c>
      <c r="E70" s="17">
        <f>IF(A70&lt;$E$13,0,MIN($C$13,($F$13*$G$13)*(A70-$E$13+1)))</f>
        <v/>
      </c>
      <c r="F70" s="17">
        <f>IF(A70&lt;$E$14,0,MIN($C$14,($F$14*$G$14)*(A70-$E$14+1)))</f>
        <v/>
      </c>
      <c r="G70" s="17">
        <f>IF(A70&lt;$E$15,0,MIN($C$15,($F$15*$G$15)*(A70-$E$15+1)))</f>
        <v/>
      </c>
      <c r="H70" s="17">
        <f>IF(A70&lt;$E$16,0,MIN($C$16,($F$16*$G$16)*(A70-$E$16+1)))</f>
        <v/>
      </c>
      <c r="I70" s="17">
        <f>IF(A70&lt;$E$17,0,MIN($C$17,($F$17*$G$17)*(A70-$E$17+1)))</f>
        <v/>
      </c>
      <c r="J70" s="17">
        <f>SUM(B70:I70)</f>
        <v/>
      </c>
      <c r="K70" s="17">
        <f>'Pilot districts'!$B$6-SUMPRODUCT(($E$10:$E$17&lt;=A70)*$C$10:$C$17)</f>
        <v/>
      </c>
    </row>
    <row r="71">
      <c r="A71" t="n">
        <v>49</v>
      </c>
      <c r="B71" s="17">
        <f>IF(A71&lt;$E$10,0,MIN($C$10,($F$10*$G$10)*(A71-$E$10+1)))</f>
        <v/>
      </c>
      <c r="C71" s="17">
        <f>IF(A71&lt;$E$11,0,MIN($C$11,($F$11*$G$11)*(A71-$E$11+1)))</f>
        <v/>
      </c>
      <c r="D71" s="17">
        <f>IF(A71&lt;$E$12,0,MIN($C$12,($F$12*$G$12)*(A71-$E$12+1)))</f>
        <v/>
      </c>
      <c r="E71" s="17">
        <f>IF(A71&lt;$E$13,0,MIN($C$13,($F$13*$G$13)*(A71-$E$13+1)))</f>
        <v/>
      </c>
      <c r="F71" s="17">
        <f>IF(A71&lt;$E$14,0,MIN($C$14,($F$14*$G$14)*(A71-$E$14+1)))</f>
        <v/>
      </c>
      <c r="G71" s="17">
        <f>IF(A71&lt;$E$15,0,MIN($C$15,($F$15*$G$15)*(A71-$E$15+1)))</f>
        <v/>
      </c>
      <c r="H71" s="17">
        <f>IF(A71&lt;$E$16,0,MIN($C$16,($F$16*$G$16)*(A71-$E$16+1)))</f>
        <v/>
      </c>
      <c r="I71" s="17">
        <f>IF(A71&lt;$E$17,0,MIN($C$17,($F$17*$G$17)*(A71-$E$17+1)))</f>
        <v/>
      </c>
      <c r="J71" s="17">
        <f>SUM(B71:I71)</f>
        <v/>
      </c>
      <c r="K71" s="17">
        <f>'Pilot districts'!$B$6-SUMPRODUCT(($E$10:$E$17&lt;=A71)*$C$10:$C$17)</f>
        <v/>
      </c>
    </row>
    <row r="72">
      <c r="A72" t="n">
        <v>50</v>
      </c>
      <c r="B72" s="17">
        <f>IF(A72&lt;$E$10,0,MIN($C$10,($F$10*$G$10)*(A72-$E$10+1)))</f>
        <v/>
      </c>
      <c r="C72" s="17">
        <f>IF(A72&lt;$E$11,0,MIN($C$11,($F$11*$G$11)*(A72-$E$11+1)))</f>
        <v/>
      </c>
      <c r="D72" s="17">
        <f>IF(A72&lt;$E$12,0,MIN($C$12,($F$12*$G$12)*(A72-$E$12+1)))</f>
        <v/>
      </c>
      <c r="E72" s="17">
        <f>IF(A72&lt;$E$13,0,MIN($C$13,($F$13*$G$13)*(A72-$E$13+1)))</f>
        <v/>
      </c>
      <c r="F72" s="17">
        <f>IF(A72&lt;$E$14,0,MIN($C$14,($F$14*$G$14)*(A72-$E$14+1)))</f>
        <v/>
      </c>
      <c r="G72" s="17">
        <f>IF(A72&lt;$E$15,0,MIN($C$15,($F$15*$G$15)*(A72-$E$15+1)))</f>
        <v/>
      </c>
      <c r="H72" s="17">
        <f>IF(A72&lt;$E$16,0,MIN($C$16,($F$16*$G$16)*(A72-$E$16+1)))</f>
        <v/>
      </c>
      <c r="I72" s="17">
        <f>IF(A72&lt;$E$17,0,MIN($C$17,($F$17*$G$17)*(A72-$E$17+1)))</f>
        <v/>
      </c>
      <c r="J72" s="17">
        <f>SUM(B72:I72)</f>
        <v/>
      </c>
      <c r="K72" s="17">
        <f>'Pilot districts'!$B$6-SUMPRODUCT(($E$10:$E$17&lt;=A72)*$C$10:$C$17)</f>
        <v/>
      </c>
    </row>
    <row r="73">
      <c r="A73" t="n">
        <v>51</v>
      </c>
      <c r="B73" s="17">
        <f>IF(A73&lt;$E$10,0,MIN($C$10,($F$10*$G$10)*(A73-$E$10+1)))</f>
        <v/>
      </c>
      <c r="C73" s="17">
        <f>IF(A73&lt;$E$11,0,MIN($C$11,($F$11*$G$11)*(A73-$E$11+1)))</f>
        <v/>
      </c>
      <c r="D73" s="17">
        <f>IF(A73&lt;$E$12,0,MIN($C$12,($F$12*$G$12)*(A73-$E$12+1)))</f>
        <v/>
      </c>
      <c r="E73" s="17">
        <f>IF(A73&lt;$E$13,0,MIN($C$13,($F$13*$G$13)*(A73-$E$13+1)))</f>
        <v/>
      </c>
      <c r="F73" s="17">
        <f>IF(A73&lt;$E$14,0,MIN($C$14,($F$14*$G$14)*(A73-$E$14+1)))</f>
        <v/>
      </c>
      <c r="G73" s="17">
        <f>IF(A73&lt;$E$15,0,MIN($C$15,($F$15*$G$15)*(A73-$E$15+1)))</f>
        <v/>
      </c>
      <c r="H73" s="17">
        <f>IF(A73&lt;$E$16,0,MIN($C$16,($F$16*$G$16)*(A73-$E$16+1)))</f>
        <v/>
      </c>
      <c r="I73" s="17">
        <f>IF(A73&lt;$E$17,0,MIN($C$17,($F$17*$G$17)*(A73-$E$17+1)))</f>
        <v/>
      </c>
      <c r="J73" s="17">
        <f>SUM(B73:I73)</f>
        <v/>
      </c>
      <c r="K73" s="17">
        <f>'Pilot districts'!$B$6-SUMPRODUCT(($E$10:$E$17&lt;=A73)*$C$10:$C$17)</f>
        <v/>
      </c>
    </row>
    <row r="74">
      <c r="A74" t="n">
        <v>52</v>
      </c>
      <c r="B74" s="17">
        <f>IF(A74&lt;$E$10,0,MIN($C$10,($F$10*$G$10)*(A74-$E$10+1)))</f>
        <v/>
      </c>
      <c r="C74" s="17">
        <f>IF(A74&lt;$E$11,0,MIN($C$11,($F$11*$G$11)*(A74-$E$11+1)))</f>
        <v/>
      </c>
      <c r="D74" s="17">
        <f>IF(A74&lt;$E$12,0,MIN($C$12,($F$12*$G$12)*(A74-$E$12+1)))</f>
        <v/>
      </c>
      <c r="E74" s="17">
        <f>IF(A74&lt;$E$13,0,MIN($C$13,($F$13*$G$13)*(A74-$E$13+1)))</f>
        <v/>
      </c>
      <c r="F74" s="17">
        <f>IF(A74&lt;$E$14,0,MIN($C$14,($F$14*$G$14)*(A74-$E$14+1)))</f>
        <v/>
      </c>
      <c r="G74" s="17">
        <f>IF(A74&lt;$E$15,0,MIN($C$15,($F$15*$G$15)*(A74-$E$15+1)))</f>
        <v/>
      </c>
      <c r="H74" s="17">
        <f>IF(A74&lt;$E$16,0,MIN($C$16,($F$16*$G$16)*(A74-$E$16+1)))</f>
        <v/>
      </c>
      <c r="I74" s="17">
        <f>IF(A74&lt;$E$17,0,MIN($C$17,($F$17*$G$17)*(A74-$E$17+1)))</f>
        <v/>
      </c>
      <c r="J74" s="17">
        <f>SUM(B74:I74)</f>
        <v/>
      </c>
      <c r="K74" s="17">
        <f>'Pilot districts'!$B$6-SUMPRODUCT(($E$10:$E$17&lt;=A74)*$C$10:$C$17)</f>
        <v/>
      </c>
    </row>
    <row r="75">
      <c r="A75" t="n">
        <v>53</v>
      </c>
      <c r="B75" s="17">
        <f>IF(A75&lt;$E$10,0,MIN($C$10,($F$10*$G$10)*(A75-$E$10+1)))</f>
        <v/>
      </c>
      <c r="C75" s="17">
        <f>IF(A75&lt;$E$11,0,MIN($C$11,($F$11*$G$11)*(A75-$E$11+1)))</f>
        <v/>
      </c>
      <c r="D75" s="17">
        <f>IF(A75&lt;$E$12,0,MIN($C$12,($F$12*$G$12)*(A75-$E$12+1)))</f>
        <v/>
      </c>
      <c r="E75" s="17">
        <f>IF(A75&lt;$E$13,0,MIN($C$13,($F$13*$G$13)*(A75-$E$13+1)))</f>
        <v/>
      </c>
      <c r="F75" s="17">
        <f>IF(A75&lt;$E$14,0,MIN($C$14,($F$14*$G$14)*(A75-$E$14+1)))</f>
        <v/>
      </c>
      <c r="G75" s="17">
        <f>IF(A75&lt;$E$15,0,MIN($C$15,($F$15*$G$15)*(A75-$E$15+1)))</f>
        <v/>
      </c>
      <c r="H75" s="17">
        <f>IF(A75&lt;$E$16,0,MIN($C$16,($F$16*$G$16)*(A75-$E$16+1)))</f>
        <v/>
      </c>
      <c r="I75" s="17">
        <f>IF(A75&lt;$E$17,0,MIN($C$17,($F$17*$G$17)*(A75-$E$17+1)))</f>
        <v/>
      </c>
      <c r="J75" s="17">
        <f>SUM(B75:I75)</f>
        <v/>
      </c>
      <c r="K75" s="17">
        <f>'Pilot districts'!$B$6-SUMPRODUCT(($E$10:$E$17&lt;=A75)*$C$10:$C$17)</f>
        <v/>
      </c>
    </row>
    <row r="76">
      <c r="A76" t="n">
        <v>54</v>
      </c>
      <c r="B76" s="17">
        <f>IF(A76&lt;$E$10,0,MIN($C$10,($F$10*$G$10)*(A76-$E$10+1)))</f>
        <v/>
      </c>
      <c r="C76" s="17">
        <f>IF(A76&lt;$E$11,0,MIN($C$11,($F$11*$G$11)*(A76-$E$11+1)))</f>
        <v/>
      </c>
      <c r="D76" s="17">
        <f>IF(A76&lt;$E$12,0,MIN($C$12,($F$12*$G$12)*(A76-$E$12+1)))</f>
        <v/>
      </c>
      <c r="E76" s="17">
        <f>IF(A76&lt;$E$13,0,MIN($C$13,($F$13*$G$13)*(A76-$E$13+1)))</f>
        <v/>
      </c>
      <c r="F76" s="17">
        <f>IF(A76&lt;$E$14,0,MIN($C$14,($F$14*$G$14)*(A76-$E$14+1)))</f>
        <v/>
      </c>
      <c r="G76" s="17">
        <f>IF(A76&lt;$E$15,0,MIN($C$15,($F$15*$G$15)*(A76-$E$15+1)))</f>
        <v/>
      </c>
      <c r="H76" s="17">
        <f>IF(A76&lt;$E$16,0,MIN($C$16,($F$16*$G$16)*(A76-$E$16+1)))</f>
        <v/>
      </c>
      <c r="I76" s="17">
        <f>IF(A76&lt;$E$17,0,MIN($C$17,($F$17*$G$17)*(A76-$E$17+1)))</f>
        <v/>
      </c>
      <c r="J76" s="17">
        <f>SUM(B76:I76)</f>
        <v/>
      </c>
      <c r="K76" s="17">
        <f>'Pilot districts'!$B$6-SUMPRODUCT(($E$10:$E$17&lt;=A76)*$C$10:$C$17)</f>
        <v/>
      </c>
    </row>
    <row r="77">
      <c r="A77" t="n">
        <v>55</v>
      </c>
      <c r="B77" s="17">
        <f>IF(A77&lt;$E$10,0,MIN($C$10,($F$10*$G$10)*(A77-$E$10+1)))</f>
        <v/>
      </c>
      <c r="C77" s="17">
        <f>IF(A77&lt;$E$11,0,MIN($C$11,($F$11*$G$11)*(A77-$E$11+1)))</f>
        <v/>
      </c>
      <c r="D77" s="17">
        <f>IF(A77&lt;$E$12,0,MIN($C$12,($F$12*$G$12)*(A77-$E$12+1)))</f>
        <v/>
      </c>
      <c r="E77" s="17">
        <f>IF(A77&lt;$E$13,0,MIN($C$13,($F$13*$G$13)*(A77-$E$13+1)))</f>
        <v/>
      </c>
      <c r="F77" s="17">
        <f>IF(A77&lt;$E$14,0,MIN($C$14,($F$14*$G$14)*(A77-$E$14+1)))</f>
        <v/>
      </c>
      <c r="G77" s="17">
        <f>IF(A77&lt;$E$15,0,MIN($C$15,($F$15*$G$15)*(A77-$E$15+1)))</f>
        <v/>
      </c>
      <c r="H77" s="17">
        <f>IF(A77&lt;$E$16,0,MIN($C$16,($F$16*$G$16)*(A77-$E$16+1)))</f>
        <v/>
      </c>
      <c r="I77" s="17">
        <f>IF(A77&lt;$E$17,0,MIN($C$17,($F$17*$G$17)*(A77-$E$17+1)))</f>
        <v/>
      </c>
      <c r="J77" s="17">
        <f>SUM(B77:I77)</f>
        <v/>
      </c>
      <c r="K77" s="17">
        <f>'Pilot districts'!$B$6-SUMPRODUCT(($E$10:$E$17&lt;=A77)*$C$10:$C$17)</f>
        <v/>
      </c>
    </row>
    <row r="78">
      <c r="A78" t="n">
        <v>56</v>
      </c>
      <c r="B78" s="17">
        <f>IF(A78&lt;$E$10,0,MIN($C$10,($F$10*$G$10)*(A78-$E$10+1)))</f>
        <v/>
      </c>
      <c r="C78" s="17">
        <f>IF(A78&lt;$E$11,0,MIN($C$11,($F$11*$G$11)*(A78-$E$11+1)))</f>
        <v/>
      </c>
      <c r="D78" s="17">
        <f>IF(A78&lt;$E$12,0,MIN($C$12,($F$12*$G$12)*(A78-$E$12+1)))</f>
        <v/>
      </c>
      <c r="E78" s="17">
        <f>IF(A78&lt;$E$13,0,MIN($C$13,($F$13*$G$13)*(A78-$E$13+1)))</f>
        <v/>
      </c>
      <c r="F78" s="17">
        <f>IF(A78&lt;$E$14,0,MIN($C$14,($F$14*$G$14)*(A78-$E$14+1)))</f>
        <v/>
      </c>
      <c r="G78" s="17">
        <f>IF(A78&lt;$E$15,0,MIN($C$15,($F$15*$G$15)*(A78-$E$15+1)))</f>
        <v/>
      </c>
      <c r="H78" s="17">
        <f>IF(A78&lt;$E$16,0,MIN($C$16,($F$16*$G$16)*(A78-$E$16+1)))</f>
        <v/>
      </c>
      <c r="I78" s="17">
        <f>IF(A78&lt;$E$17,0,MIN($C$17,($F$17*$G$17)*(A78-$E$17+1)))</f>
        <v/>
      </c>
      <c r="J78" s="17">
        <f>SUM(B78:I78)</f>
        <v/>
      </c>
      <c r="K78" s="17">
        <f>'Pilot districts'!$B$6-SUMPRODUCT(($E$10:$E$17&lt;=A78)*$C$10:$C$17)</f>
        <v/>
      </c>
    </row>
    <row r="79">
      <c r="A79" t="n">
        <v>57</v>
      </c>
      <c r="B79" s="17">
        <f>IF(A79&lt;$E$10,0,MIN($C$10,($F$10*$G$10)*(A79-$E$10+1)))</f>
        <v/>
      </c>
      <c r="C79" s="17">
        <f>IF(A79&lt;$E$11,0,MIN($C$11,($F$11*$G$11)*(A79-$E$11+1)))</f>
        <v/>
      </c>
      <c r="D79" s="17">
        <f>IF(A79&lt;$E$12,0,MIN($C$12,($F$12*$G$12)*(A79-$E$12+1)))</f>
        <v/>
      </c>
      <c r="E79" s="17">
        <f>IF(A79&lt;$E$13,0,MIN($C$13,($F$13*$G$13)*(A79-$E$13+1)))</f>
        <v/>
      </c>
      <c r="F79" s="17">
        <f>IF(A79&lt;$E$14,0,MIN($C$14,($F$14*$G$14)*(A79-$E$14+1)))</f>
        <v/>
      </c>
      <c r="G79" s="17">
        <f>IF(A79&lt;$E$15,0,MIN($C$15,($F$15*$G$15)*(A79-$E$15+1)))</f>
        <v/>
      </c>
      <c r="H79" s="17">
        <f>IF(A79&lt;$E$16,0,MIN($C$16,($F$16*$G$16)*(A79-$E$16+1)))</f>
        <v/>
      </c>
      <c r="I79" s="17">
        <f>IF(A79&lt;$E$17,0,MIN($C$17,($F$17*$G$17)*(A79-$E$17+1)))</f>
        <v/>
      </c>
      <c r="J79" s="17">
        <f>SUM(B79:I79)</f>
        <v/>
      </c>
      <c r="K79" s="17">
        <f>'Pilot districts'!$B$6-SUMPRODUCT(($E$10:$E$17&lt;=A79)*$C$10:$C$17)</f>
        <v/>
      </c>
    </row>
    <row r="80">
      <c r="A80" t="n">
        <v>58</v>
      </c>
      <c r="B80" s="17">
        <f>IF(A80&lt;$E$10,0,MIN($C$10,($F$10*$G$10)*(A80-$E$10+1)))</f>
        <v/>
      </c>
      <c r="C80" s="17">
        <f>IF(A80&lt;$E$11,0,MIN($C$11,($F$11*$G$11)*(A80-$E$11+1)))</f>
        <v/>
      </c>
      <c r="D80" s="17">
        <f>IF(A80&lt;$E$12,0,MIN($C$12,($F$12*$G$12)*(A80-$E$12+1)))</f>
        <v/>
      </c>
      <c r="E80" s="17">
        <f>IF(A80&lt;$E$13,0,MIN($C$13,($F$13*$G$13)*(A80-$E$13+1)))</f>
        <v/>
      </c>
      <c r="F80" s="17">
        <f>IF(A80&lt;$E$14,0,MIN($C$14,($F$14*$G$14)*(A80-$E$14+1)))</f>
        <v/>
      </c>
      <c r="G80" s="17">
        <f>IF(A80&lt;$E$15,0,MIN($C$15,($F$15*$G$15)*(A80-$E$15+1)))</f>
        <v/>
      </c>
      <c r="H80" s="17">
        <f>IF(A80&lt;$E$16,0,MIN($C$16,($F$16*$G$16)*(A80-$E$16+1)))</f>
        <v/>
      </c>
      <c r="I80" s="17">
        <f>IF(A80&lt;$E$17,0,MIN($C$17,($F$17*$G$17)*(A80-$E$17+1)))</f>
        <v/>
      </c>
      <c r="J80" s="17">
        <f>SUM(B80:I80)</f>
        <v/>
      </c>
      <c r="K80" s="17">
        <f>'Pilot districts'!$B$6-SUMPRODUCT(($E$10:$E$17&lt;=A80)*$C$10:$C$17)</f>
        <v/>
      </c>
    </row>
    <row r="81">
      <c r="A81" t="n">
        <v>59</v>
      </c>
      <c r="B81" s="17">
        <f>IF(A81&lt;$E$10,0,MIN($C$10,($F$10*$G$10)*(A81-$E$10+1)))</f>
        <v/>
      </c>
      <c r="C81" s="17">
        <f>IF(A81&lt;$E$11,0,MIN($C$11,($F$11*$G$11)*(A81-$E$11+1)))</f>
        <v/>
      </c>
      <c r="D81" s="17">
        <f>IF(A81&lt;$E$12,0,MIN($C$12,($F$12*$G$12)*(A81-$E$12+1)))</f>
        <v/>
      </c>
      <c r="E81" s="17">
        <f>IF(A81&lt;$E$13,0,MIN($C$13,($F$13*$G$13)*(A81-$E$13+1)))</f>
        <v/>
      </c>
      <c r="F81" s="17">
        <f>IF(A81&lt;$E$14,0,MIN($C$14,($F$14*$G$14)*(A81-$E$14+1)))</f>
        <v/>
      </c>
      <c r="G81" s="17">
        <f>IF(A81&lt;$E$15,0,MIN($C$15,($F$15*$G$15)*(A81-$E$15+1)))</f>
        <v/>
      </c>
      <c r="H81" s="17">
        <f>IF(A81&lt;$E$16,0,MIN($C$16,($F$16*$G$16)*(A81-$E$16+1)))</f>
        <v/>
      </c>
      <c r="I81" s="17">
        <f>IF(A81&lt;$E$17,0,MIN($C$17,($F$17*$G$17)*(A81-$E$17+1)))</f>
        <v/>
      </c>
      <c r="J81" s="17">
        <f>SUM(B81:I81)</f>
        <v/>
      </c>
      <c r="K81" s="17">
        <f>'Pilot districts'!$B$6-SUMPRODUCT(($E$10:$E$17&lt;=A81)*$C$10:$C$17)</f>
        <v/>
      </c>
    </row>
    <row r="82">
      <c r="A82" t="n">
        <v>60</v>
      </c>
      <c r="B82" s="17">
        <f>IF(A82&lt;$E$10,0,MIN($C$10,($F$10*$G$10)*(A82-$E$10+1)))</f>
        <v/>
      </c>
      <c r="C82" s="17">
        <f>IF(A82&lt;$E$11,0,MIN($C$11,($F$11*$G$11)*(A82-$E$11+1)))</f>
        <v/>
      </c>
      <c r="D82" s="17">
        <f>IF(A82&lt;$E$12,0,MIN($C$12,($F$12*$G$12)*(A82-$E$12+1)))</f>
        <v/>
      </c>
      <c r="E82" s="17">
        <f>IF(A82&lt;$E$13,0,MIN($C$13,($F$13*$G$13)*(A82-$E$13+1)))</f>
        <v/>
      </c>
      <c r="F82" s="17">
        <f>IF(A82&lt;$E$14,0,MIN($C$14,($F$14*$G$14)*(A82-$E$14+1)))</f>
        <v/>
      </c>
      <c r="G82" s="17">
        <f>IF(A82&lt;$E$15,0,MIN($C$15,($F$15*$G$15)*(A82-$E$15+1)))</f>
        <v/>
      </c>
      <c r="H82" s="17">
        <f>IF(A82&lt;$E$16,0,MIN($C$16,($F$16*$G$16)*(A82-$E$16+1)))</f>
        <v/>
      </c>
      <c r="I82" s="17">
        <f>IF(A82&lt;$E$17,0,MIN($C$17,($F$17*$G$17)*(A82-$E$17+1)))</f>
        <v/>
      </c>
      <c r="J82" s="17">
        <f>SUM(B82:I82)</f>
        <v/>
      </c>
      <c r="K82" s="17">
        <f>'Pilot districts'!$B$6-SUMPRODUCT(($E$10:$E$17&lt;=A82)*$C$10:$C$17)</f>
        <v/>
      </c>
    </row>
    <row r="83">
      <c r="A83" t="n">
        <v>61</v>
      </c>
      <c r="B83" s="17">
        <f>IF(A83&lt;$E$10,0,MIN($C$10,($F$10*$G$10)*(A83-$E$10+1)))</f>
        <v/>
      </c>
      <c r="C83" s="17">
        <f>IF(A83&lt;$E$11,0,MIN($C$11,($F$11*$G$11)*(A83-$E$11+1)))</f>
        <v/>
      </c>
      <c r="D83" s="17">
        <f>IF(A83&lt;$E$12,0,MIN($C$12,($F$12*$G$12)*(A83-$E$12+1)))</f>
        <v/>
      </c>
      <c r="E83" s="17">
        <f>IF(A83&lt;$E$13,0,MIN($C$13,($F$13*$G$13)*(A83-$E$13+1)))</f>
        <v/>
      </c>
      <c r="F83" s="17">
        <f>IF(A83&lt;$E$14,0,MIN($C$14,($F$14*$G$14)*(A83-$E$14+1)))</f>
        <v/>
      </c>
      <c r="G83" s="17">
        <f>IF(A83&lt;$E$15,0,MIN($C$15,($F$15*$G$15)*(A83-$E$15+1)))</f>
        <v/>
      </c>
      <c r="H83" s="17">
        <f>IF(A83&lt;$E$16,0,MIN($C$16,($F$16*$G$16)*(A83-$E$16+1)))</f>
        <v/>
      </c>
      <c r="I83" s="17">
        <f>IF(A83&lt;$E$17,0,MIN($C$17,($F$17*$G$17)*(A83-$E$17+1)))</f>
        <v/>
      </c>
      <c r="J83" s="17">
        <f>SUM(B83:I83)</f>
        <v/>
      </c>
      <c r="K83" s="17">
        <f>'Pilot districts'!$B$6-SUMPRODUCT(($E$10:$E$17&lt;=A83)*$C$10:$C$17)</f>
        <v/>
      </c>
    </row>
    <row r="84">
      <c r="A84" t="n">
        <v>62</v>
      </c>
      <c r="B84" s="17">
        <f>IF(A84&lt;$E$10,0,MIN($C$10,($F$10*$G$10)*(A84-$E$10+1)))</f>
        <v/>
      </c>
      <c r="C84" s="17">
        <f>IF(A84&lt;$E$11,0,MIN($C$11,($F$11*$G$11)*(A84-$E$11+1)))</f>
        <v/>
      </c>
      <c r="D84" s="17">
        <f>IF(A84&lt;$E$12,0,MIN($C$12,($F$12*$G$12)*(A84-$E$12+1)))</f>
        <v/>
      </c>
      <c r="E84" s="17">
        <f>IF(A84&lt;$E$13,0,MIN($C$13,($F$13*$G$13)*(A84-$E$13+1)))</f>
        <v/>
      </c>
      <c r="F84" s="17">
        <f>IF(A84&lt;$E$14,0,MIN($C$14,($F$14*$G$14)*(A84-$E$14+1)))</f>
        <v/>
      </c>
      <c r="G84" s="17">
        <f>IF(A84&lt;$E$15,0,MIN($C$15,($F$15*$G$15)*(A84-$E$15+1)))</f>
        <v/>
      </c>
      <c r="H84" s="17">
        <f>IF(A84&lt;$E$16,0,MIN($C$16,($F$16*$G$16)*(A84-$E$16+1)))</f>
        <v/>
      </c>
      <c r="I84" s="17">
        <f>IF(A84&lt;$E$17,0,MIN($C$17,($F$17*$G$17)*(A84-$E$17+1)))</f>
        <v/>
      </c>
      <c r="J84" s="17">
        <f>SUM(B84:I84)</f>
        <v/>
      </c>
      <c r="K84" s="17">
        <f>'Pilot districts'!$B$6-SUMPRODUCT(($E$10:$E$17&lt;=A84)*$C$10:$C$17)</f>
        <v/>
      </c>
    </row>
    <row r="85">
      <c r="A85" t="n">
        <v>63</v>
      </c>
      <c r="B85" s="17">
        <f>IF(A85&lt;$E$10,0,MIN($C$10,($F$10*$G$10)*(A85-$E$10+1)))</f>
        <v/>
      </c>
      <c r="C85" s="17">
        <f>IF(A85&lt;$E$11,0,MIN($C$11,($F$11*$G$11)*(A85-$E$11+1)))</f>
        <v/>
      </c>
      <c r="D85" s="17">
        <f>IF(A85&lt;$E$12,0,MIN($C$12,($F$12*$G$12)*(A85-$E$12+1)))</f>
        <v/>
      </c>
      <c r="E85" s="17">
        <f>IF(A85&lt;$E$13,0,MIN($C$13,($F$13*$G$13)*(A85-$E$13+1)))</f>
        <v/>
      </c>
      <c r="F85" s="17">
        <f>IF(A85&lt;$E$14,0,MIN($C$14,($F$14*$G$14)*(A85-$E$14+1)))</f>
        <v/>
      </c>
      <c r="G85" s="17">
        <f>IF(A85&lt;$E$15,0,MIN($C$15,($F$15*$G$15)*(A85-$E$15+1)))</f>
        <v/>
      </c>
      <c r="H85" s="17">
        <f>IF(A85&lt;$E$16,0,MIN($C$16,($F$16*$G$16)*(A85-$E$16+1)))</f>
        <v/>
      </c>
      <c r="I85" s="17">
        <f>IF(A85&lt;$E$17,0,MIN($C$17,($F$17*$G$17)*(A85-$E$17+1)))</f>
        <v/>
      </c>
      <c r="J85" s="17">
        <f>SUM(B85:I85)</f>
        <v/>
      </c>
      <c r="K85" s="17">
        <f>'Pilot districts'!$B$6-SUMPRODUCT(($E$10:$E$17&lt;=A85)*$C$10:$C$17)</f>
        <v/>
      </c>
    </row>
    <row r="86">
      <c r="A86" t="n">
        <v>64</v>
      </c>
      <c r="B86" s="17">
        <f>IF(A86&lt;$E$10,0,MIN($C$10,($F$10*$G$10)*(A86-$E$10+1)))</f>
        <v/>
      </c>
      <c r="C86" s="17">
        <f>IF(A86&lt;$E$11,0,MIN($C$11,($F$11*$G$11)*(A86-$E$11+1)))</f>
        <v/>
      </c>
      <c r="D86" s="17">
        <f>IF(A86&lt;$E$12,0,MIN($C$12,($F$12*$G$12)*(A86-$E$12+1)))</f>
        <v/>
      </c>
      <c r="E86" s="17">
        <f>IF(A86&lt;$E$13,0,MIN($C$13,($F$13*$G$13)*(A86-$E$13+1)))</f>
        <v/>
      </c>
      <c r="F86" s="17">
        <f>IF(A86&lt;$E$14,0,MIN($C$14,($F$14*$G$14)*(A86-$E$14+1)))</f>
        <v/>
      </c>
      <c r="G86" s="17">
        <f>IF(A86&lt;$E$15,0,MIN($C$15,($F$15*$G$15)*(A86-$E$15+1)))</f>
        <v/>
      </c>
      <c r="H86" s="17">
        <f>IF(A86&lt;$E$16,0,MIN($C$16,($F$16*$G$16)*(A86-$E$16+1)))</f>
        <v/>
      </c>
      <c r="I86" s="17">
        <f>IF(A86&lt;$E$17,0,MIN($C$17,($F$17*$G$17)*(A86-$E$17+1)))</f>
        <v/>
      </c>
      <c r="J86" s="17">
        <f>SUM(B86:I86)</f>
        <v/>
      </c>
      <c r="K86" s="17">
        <f>'Pilot districts'!$B$6-SUMPRODUCT(($E$10:$E$17&lt;=A86)*$C$10:$C$17)</f>
        <v/>
      </c>
    </row>
    <row r="87">
      <c r="A87" t="n">
        <v>65</v>
      </c>
      <c r="B87" s="17">
        <f>IF(A87&lt;$E$10,0,MIN($C$10,($F$10*$G$10)*(A87-$E$10+1)))</f>
        <v/>
      </c>
      <c r="C87" s="17">
        <f>IF(A87&lt;$E$11,0,MIN($C$11,($F$11*$G$11)*(A87-$E$11+1)))</f>
        <v/>
      </c>
      <c r="D87" s="17">
        <f>IF(A87&lt;$E$12,0,MIN($C$12,($F$12*$G$12)*(A87-$E$12+1)))</f>
        <v/>
      </c>
      <c r="E87" s="17">
        <f>IF(A87&lt;$E$13,0,MIN($C$13,($F$13*$G$13)*(A87-$E$13+1)))</f>
        <v/>
      </c>
      <c r="F87" s="17">
        <f>IF(A87&lt;$E$14,0,MIN($C$14,($F$14*$G$14)*(A87-$E$14+1)))</f>
        <v/>
      </c>
      <c r="G87" s="17">
        <f>IF(A87&lt;$E$15,0,MIN($C$15,($F$15*$G$15)*(A87-$E$15+1)))</f>
        <v/>
      </c>
      <c r="H87" s="17">
        <f>IF(A87&lt;$E$16,0,MIN($C$16,($F$16*$G$16)*(A87-$E$16+1)))</f>
        <v/>
      </c>
      <c r="I87" s="17">
        <f>IF(A87&lt;$E$17,0,MIN($C$17,($F$17*$G$17)*(A87-$E$17+1)))</f>
        <v/>
      </c>
      <c r="J87" s="17">
        <f>SUM(B87:I87)</f>
        <v/>
      </c>
      <c r="K87" s="17">
        <f>'Pilot districts'!$B$6-SUMPRODUCT(($E$10:$E$17&lt;=A87)*$C$10:$C$17)</f>
        <v/>
      </c>
    </row>
    <row r="88">
      <c r="A88" t="n">
        <v>66</v>
      </c>
      <c r="B88" s="17">
        <f>IF(A88&lt;$E$10,0,MIN($C$10,($F$10*$G$10)*(A88-$E$10+1)))</f>
        <v/>
      </c>
      <c r="C88" s="17">
        <f>IF(A88&lt;$E$11,0,MIN($C$11,($F$11*$G$11)*(A88-$E$11+1)))</f>
        <v/>
      </c>
      <c r="D88" s="17">
        <f>IF(A88&lt;$E$12,0,MIN($C$12,($F$12*$G$12)*(A88-$E$12+1)))</f>
        <v/>
      </c>
      <c r="E88" s="17">
        <f>IF(A88&lt;$E$13,0,MIN($C$13,($F$13*$G$13)*(A88-$E$13+1)))</f>
        <v/>
      </c>
      <c r="F88" s="17">
        <f>IF(A88&lt;$E$14,0,MIN($C$14,($F$14*$G$14)*(A88-$E$14+1)))</f>
        <v/>
      </c>
      <c r="G88" s="17">
        <f>IF(A88&lt;$E$15,0,MIN($C$15,($F$15*$G$15)*(A88-$E$15+1)))</f>
        <v/>
      </c>
      <c r="H88" s="17">
        <f>IF(A88&lt;$E$16,0,MIN($C$16,($F$16*$G$16)*(A88-$E$16+1)))</f>
        <v/>
      </c>
      <c r="I88" s="17">
        <f>IF(A88&lt;$E$17,0,MIN($C$17,($F$17*$G$17)*(A88-$E$17+1)))</f>
        <v/>
      </c>
      <c r="J88" s="17">
        <f>SUM(B88:I88)</f>
        <v/>
      </c>
      <c r="K88" s="17">
        <f>'Pilot districts'!$B$6-SUMPRODUCT(($E$10:$E$17&lt;=A88)*$C$10:$C$17)</f>
        <v/>
      </c>
    </row>
    <row r="89">
      <c r="A89" t="n">
        <v>67</v>
      </c>
      <c r="B89" s="17">
        <f>IF(A89&lt;$E$10,0,MIN($C$10,($F$10*$G$10)*(A89-$E$10+1)))</f>
        <v/>
      </c>
      <c r="C89" s="17">
        <f>IF(A89&lt;$E$11,0,MIN($C$11,($F$11*$G$11)*(A89-$E$11+1)))</f>
        <v/>
      </c>
      <c r="D89" s="17">
        <f>IF(A89&lt;$E$12,0,MIN($C$12,($F$12*$G$12)*(A89-$E$12+1)))</f>
        <v/>
      </c>
      <c r="E89" s="17">
        <f>IF(A89&lt;$E$13,0,MIN($C$13,($F$13*$G$13)*(A89-$E$13+1)))</f>
        <v/>
      </c>
      <c r="F89" s="17">
        <f>IF(A89&lt;$E$14,0,MIN($C$14,($F$14*$G$14)*(A89-$E$14+1)))</f>
        <v/>
      </c>
      <c r="G89" s="17">
        <f>IF(A89&lt;$E$15,0,MIN($C$15,($F$15*$G$15)*(A89-$E$15+1)))</f>
        <v/>
      </c>
      <c r="H89" s="17">
        <f>IF(A89&lt;$E$16,0,MIN($C$16,($F$16*$G$16)*(A89-$E$16+1)))</f>
        <v/>
      </c>
      <c r="I89" s="17">
        <f>IF(A89&lt;$E$17,0,MIN($C$17,($F$17*$G$17)*(A89-$E$17+1)))</f>
        <v/>
      </c>
      <c r="J89" s="17">
        <f>SUM(B89:I89)</f>
        <v/>
      </c>
      <c r="K89" s="17">
        <f>'Pilot districts'!$B$6-SUMPRODUCT(($E$10:$E$17&lt;=A89)*$C$10:$C$17)</f>
        <v/>
      </c>
    </row>
    <row r="90">
      <c r="A90" t="n">
        <v>68</v>
      </c>
      <c r="B90" s="17">
        <f>IF(A90&lt;$E$10,0,MIN($C$10,($F$10*$G$10)*(A90-$E$10+1)))</f>
        <v/>
      </c>
      <c r="C90" s="17">
        <f>IF(A90&lt;$E$11,0,MIN($C$11,($F$11*$G$11)*(A90-$E$11+1)))</f>
        <v/>
      </c>
      <c r="D90" s="17">
        <f>IF(A90&lt;$E$12,0,MIN($C$12,($F$12*$G$12)*(A90-$E$12+1)))</f>
        <v/>
      </c>
      <c r="E90" s="17">
        <f>IF(A90&lt;$E$13,0,MIN($C$13,($F$13*$G$13)*(A90-$E$13+1)))</f>
        <v/>
      </c>
      <c r="F90" s="17">
        <f>IF(A90&lt;$E$14,0,MIN($C$14,($F$14*$G$14)*(A90-$E$14+1)))</f>
        <v/>
      </c>
      <c r="G90" s="17">
        <f>IF(A90&lt;$E$15,0,MIN($C$15,($F$15*$G$15)*(A90-$E$15+1)))</f>
        <v/>
      </c>
      <c r="H90" s="17">
        <f>IF(A90&lt;$E$16,0,MIN($C$16,($F$16*$G$16)*(A90-$E$16+1)))</f>
        <v/>
      </c>
      <c r="I90" s="17">
        <f>IF(A90&lt;$E$17,0,MIN($C$17,($F$17*$G$17)*(A90-$E$17+1)))</f>
        <v/>
      </c>
      <c r="J90" s="17">
        <f>SUM(B90:I90)</f>
        <v/>
      </c>
      <c r="K90" s="17">
        <f>'Pilot districts'!$B$6-SUMPRODUCT(($E$10:$E$17&lt;=A90)*$C$10:$C$17)</f>
        <v/>
      </c>
    </row>
    <row r="91">
      <c r="A91" t="n">
        <v>69</v>
      </c>
      <c r="B91" s="17">
        <f>IF(A91&lt;$E$10,0,MIN($C$10,($F$10*$G$10)*(A91-$E$10+1)))</f>
        <v/>
      </c>
      <c r="C91" s="17">
        <f>IF(A91&lt;$E$11,0,MIN($C$11,($F$11*$G$11)*(A91-$E$11+1)))</f>
        <v/>
      </c>
      <c r="D91" s="17">
        <f>IF(A91&lt;$E$12,0,MIN($C$12,($F$12*$G$12)*(A91-$E$12+1)))</f>
        <v/>
      </c>
      <c r="E91" s="17">
        <f>IF(A91&lt;$E$13,0,MIN($C$13,($F$13*$G$13)*(A91-$E$13+1)))</f>
        <v/>
      </c>
      <c r="F91" s="17">
        <f>IF(A91&lt;$E$14,0,MIN($C$14,($F$14*$G$14)*(A91-$E$14+1)))</f>
        <v/>
      </c>
      <c r="G91" s="17">
        <f>IF(A91&lt;$E$15,0,MIN($C$15,($F$15*$G$15)*(A91-$E$15+1)))</f>
        <v/>
      </c>
      <c r="H91" s="17">
        <f>IF(A91&lt;$E$16,0,MIN($C$16,($F$16*$G$16)*(A91-$E$16+1)))</f>
        <v/>
      </c>
      <c r="I91" s="17">
        <f>IF(A91&lt;$E$17,0,MIN($C$17,($F$17*$G$17)*(A91-$E$17+1)))</f>
        <v/>
      </c>
      <c r="J91" s="17">
        <f>SUM(B91:I91)</f>
        <v/>
      </c>
      <c r="K91" s="17">
        <f>'Pilot districts'!$B$6-SUMPRODUCT(($E$10:$E$17&lt;=A91)*$C$10:$C$17)</f>
        <v/>
      </c>
    </row>
    <row r="92">
      <c r="A92" t="n">
        <v>70</v>
      </c>
      <c r="B92" s="17">
        <f>IF(A92&lt;$E$10,0,MIN($C$10,($F$10*$G$10)*(A92-$E$10+1)))</f>
        <v/>
      </c>
      <c r="C92" s="17">
        <f>IF(A92&lt;$E$11,0,MIN($C$11,($F$11*$G$11)*(A92-$E$11+1)))</f>
        <v/>
      </c>
      <c r="D92" s="17">
        <f>IF(A92&lt;$E$12,0,MIN($C$12,($F$12*$G$12)*(A92-$E$12+1)))</f>
        <v/>
      </c>
      <c r="E92" s="17">
        <f>IF(A92&lt;$E$13,0,MIN($C$13,($F$13*$G$13)*(A92-$E$13+1)))</f>
        <v/>
      </c>
      <c r="F92" s="17">
        <f>IF(A92&lt;$E$14,0,MIN($C$14,($F$14*$G$14)*(A92-$E$14+1)))</f>
        <v/>
      </c>
      <c r="G92" s="17">
        <f>IF(A92&lt;$E$15,0,MIN($C$15,($F$15*$G$15)*(A92-$E$15+1)))</f>
        <v/>
      </c>
      <c r="H92" s="17">
        <f>IF(A92&lt;$E$16,0,MIN($C$16,($F$16*$G$16)*(A92-$E$16+1)))</f>
        <v/>
      </c>
      <c r="I92" s="17">
        <f>IF(A92&lt;$E$17,0,MIN($C$17,($F$17*$G$17)*(A92-$E$17+1)))</f>
        <v/>
      </c>
      <c r="J92" s="17">
        <f>SUM(B92:I92)</f>
        <v/>
      </c>
      <c r="K92" s="17">
        <f>'Pilot districts'!$B$6-SUMPRODUCT(($E$10:$E$17&lt;=A92)*$C$10:$C$17)</f>
        <v/>
      </c>
    </row>
    <row r="93">
      <c r="A93" t="n">
        <v>71</v>
      </c>
      <c r="B93" s="17">
        <f>IF(A93&lt;$E$10,0,MIN($C$10,($F$10*$G$10)*(A93-$E$10+1)))</f>
        <v/>
      </c>
      <c r="C93" s="17">
        <f>IF(A93&lt;$E$11,0,MIN($C$11,($F$11*$G$11)*(A93-$E$11+1)))</f>
        <v/>
      </c>
      <c r="D93" s="17">
        <f>IF(A93&lt;$E$12,0,MIN($C$12,($F$12*$G$12)*(A93-$E$12+1)))</f>
        <v/>
      </c>
      <c r="E93" s="17">
        <f>IF(A93&lt;$E$13,0,MIN($C$13,($F$13*$G$13)*(A93-$E$13+1)))</f>
        <v/>
      </c>
      <c r="F93" s="17">
        <f>IF(A93&lt;$E$14,0,MIN($C$14,($F$14*$G$14)*(A93-$E$14+1)))</f>
        <v/>
      </c>
      <c r="G93" s="17">
        <f>IF(A93&lt;$E$15,0,MIN($C$15,($F$15*$G$15)*(A93-$E$15+1)))</f>
        <v/>
      </c>
      <c r="H93" s="17">
        <f>IF(A93&lt;$E$16,0,MIN($C$16,($F$16*$G$16)*(A93-$E$16+1)))</f>
        <v/>
      </c>
      <c r="I93" s="17">
        <f>IF(A93&lt;$E$17,0,MIN($C$17,($F$17*$G$17)*(A93-$E$17+1)))</f>
        <v/>
      </c>
      <c r="J93" s="17">
        <f>SUM(B93:I93)</f>
        <v/>
      </c>
      <c r="K93" s="17">
        <f>'Pilot districts'!$B$6-SUMPRODUCT(($E$10:$E$17&lt;=A93)*$C$10:$C$17)</f>
        <v/>
      </c>
    </row>
    <row r="94">
      <c r="A94" t="n">
        <v>72</v>
      </c>
      <c r="B94" s="17">
        <f>IF(A94&lt;$E$10,0,MIN($C$10,($F$10*$G$10)*(A94-$E$10+1)))</f>
        <v/>
      </c>
      <c r="C94" s="17">
        <f>IF(A94&lt;$E$11,0,MIN($C$11,($F$11*$G$11)*(A94-$E$11+1)))</f>
        <v/>
      </c>
      <c r="D94" s="17">
        <f>IF(A94&lt;$E$12,0,MIN($C$12,($F$12*$G$12)*(A94-$E$12+1)))</f>
        <v/>
      </c>
      <c r="E94" s="17">
        <f>IF(A94&lt;$E$13,0,MIN($C$13,($F$13*$G$13)*(A94-$E$13+1)))</f>
        <v/>
      </c>
      <c r="F94" s="17">
        <f>IF(A94&lt;$E$14,0,MIN($C$14,($F$14*$G$14)*(A94-$E$14+1)))</f>
        <v/>
      </c>
      <c r="G94" s="17">
        <f>IF(A94&lt;$E$15,0,MIN($C$15,($F$15*$G$15)*(A94-$E$15+1)))</f>
        <v/>
      </c>
      <c r="H94" s="17">
        <f>IF(A94&lt;$E$16,0,MIN($C$16,($F$16*$G$16)*(A94-$E$16+1)))</f>
        <v/>
      </c>
      <c r="I94" s="17">
        <f>IF(A94&lt;$E$17,0,MIN($C$17,($F$17*$G$17)*(A94-$E$17+1)))</f>
        <v/>
      </c>
      <c r="J94" s="17">
        <f>SUM(B94:I94)</f>
        <v/>
      </c>
      <c r="K94" s="17">
        <f>'Pilot districts'!$B$6-SUMPRODUCT(($E$10:$E$17&lt;=A94)*$C$10:$C$17)</f>
        <v/>
      </c>
    </row>
    <row r="95">
      <c r="A95" t="n">
        <v>73</v>
      </c>
      <c r="B95" s="17">
        <f>IF(A95&lt;$E$10,0,MIN($C$10,($F$10*$G$10)*(A95-$E$10+1)))</f>
        <v/>
      </c>
      <c r="C95" s="17">
        <f>IF(A95&lt;$E$11,0,MIN($C$11,($F$11*$G$11)*(A95-$E$11+1)))</f>
        <v/>
      </c>
      <c r="D95" s="17">
        <f>IF(A95&lt;$E$12,0,MIN($C$12,($F$12*$G$12)*(A95-$E$12+1)))</f>
        <v/>
      </c>
      <c r="E95" s="17">
        <f>IF(A95&lt;$E$13,0,MIN($C$13,($F$13*$G$13)*(A95-$E$13+1)))</f>
        <v/>
      </c>
      <c r="F95" s="17">
        <f>IF(A95&lt;$E$14,0,MIN($C$14,($F$14*$G$14)*(A95-$E$14+1)))</f>
        <v/>
      </c>
      <c r="G95" s="17">
        <f>IF(A95&lt;$E$15,0,MIN($C$15,($F$15*$G$15)*(A95-$E$15+1)))</f>
        <v/>
      </c>
      <c r="H95" s="17">
        <f>IF(A95&lt;$E$16,0,MIN($C$16,($F$16*$G$16)*(A95-$E$16+1)))</f>
        <v/>
      </c>
      <c r="I95" s="17">
        <f>IF(A95&lt;$E$17,0,MIN($C$17,($F$17*$G$17)*(A95-$E$17+1)))</f>
        <v/>
      </c>
      <c r="J95" s="17">
        <f>SUM(B95:I95)</f>
        <v/>
      </c>
      <c r="K95" s="17">
        <f>'Pilot districts'!$B$6-SUMPRODUCT(($E$10:$E$17&lt;=A95)*$C$10:$C$17)</f>
        <v/>
      </c>
    </row>
    <row r="96">
      <c r="A96" t="n">
        <v>74</v>
      </c>
      <c r="B96" s="17">
        <f>IF(A96&lt;$E$10,0,MIN($C$10,($F$10*$G$10)*(A96-$E$10+1)))</f>
        <v/>
      </c>
      <c r="C96" s="17">
        <f>IF(A96&lt;$E$11,0,MIN($C$11,($F$11*$G$11)*(A96-$E$11+1)))</f>
        <v/>
      </c>
      <c r="D96" s="17">
        <f>IF(A96&lt;$E$12,0,MIN($C$12,($F$12*$G$12)*(A96-$E$12+1)))</f>
        <v/>
      </c>
      <c r="E96" s="17">
        <f>IF(A96&lt;$E$13,0,MIN($C$13,($F$13*$G$13)*(A96-$E$13+1)))</f>
        <v/>
      </c>
      <c r="F96" s="17">
        <f>IF(A96&lt;$E$14,0,MIN($C$14,($F$14*$G$14)*(A96-$E$14+1)))</f>
        <v/>
      </c>
      <c r="G96" s="17">
        <f>IF(A96&lt;$E$15,0,MIN($C$15,($F$15*$G$15)*(A96-$E$15+1)))</f>
        <v/>
      </c>
      <c r="H96" s="17">
        <f>IF(A96&lt;$E$16,0,MIN($C$16,($F$16*$G$16)*(A96-$E$16+1)))</f>
        <v/>
      </c>
      <c r="I96" s="17">
        <f>IF(A96&lt;$E$17,0,MIN($C$17,($F$17*$G$17)*(A96-$E$17+1)))</f>
        <v/>
      </c>
      <c r="J96" s="17">
        <f>SUM(B96:I96)</f>
        <v/>
      </c>
      <c r="K96" s="17">
        <f>'Pilot districts'!$B$6-SUMPRODUCT(($E$10:$E$17&lt;=A96)*$C$10:$C$17)</f>
        <v/>
      </c>
    </row>
    <row r="97">
      <c r="A97" t="n">
        <v>75</v>
      </c>
      <c r="B97" s="17">
        <f>IF(A97&lt;$E$10,0,MIN($C$10,($F$10*$G$10)*(A97-$E$10+1)))</f>
        <v/>
      </c>
      <c r="C97" s="17">
        <f>IF(A97&lt;$E$11,0,MIN($C$11,($F$11*$G$11)*(A97-$E$11+1)))</f>
        <v/>
      </c>
      <c r="D97" s="17">
        <f>IF(A97&lt;$E$12,0,MIN($C$12,($F$12*$G$12)*(A97-$E$12+1)))</f>
        <v/>
      </c>
      <c r="E97" s="17">
        <f>IF(A97&lt;$E$13,0,MIN($C$13,($F$13*$G$13)*(A97-$E$13+1)))</f>
        <v/>
      </c>
      <c r="F97" s="17">
        <f>IF(A97&lt;$E$14,0,MIN($C$14,($F$14*$G$14)*(A97-$E$14+1)))</f>
        <v/>
      </c>
      <c r="G97" s="17">
        <f>IF(A97&lt;$E$15,0,MIN($C$15,($F$15*$G$15)*(A97-$E$15+1)))</f>
        <v/>
      </c>
      <c r="H97" s="17">
        <f>IF(A97&lt;$E$16,0,MIN($C$16,($F$16*$G$16)*(A97-$E$16+1)))</f>
        <v/>
      </c>
      <c r="I97" s="17">
        <f>IF(A97&lt;$E$17,0,MIN($C$17,($F$17*$G$17)*(A97-$E$17+1)))</f>
        <v/>
      </c>
      <c r="J97" s="17">
        <f>SUM(B97:I97)</f>
        <v/>
      </c>
      <c r="K97" s="17">
        <f>'Pilot districts'!$B$6-SUMPRODUCT(($E$10:$E$17&lt;=A97)*$C$10:$C$17)</f>
        <v/>
      </c>
    </row>
    <row r="98">
      <c r="A98" t="n">
        <v>76</v>
      </c>
      <c r="B98" s="17">
        <f>IF(A98&lt;$E$10,0,MIN($C$10,($F$10*$G$10)*(A98-$E$10+1)))</f>
        <v/>
      </c>
      <c r="C98" s="17">
        <f>IF(A98&lt;$E$11,0,MIN($C$11,($F$11*$G$11)*(A98-$E$11+1)))</f>
        <v/>
      </c>
      <c r="D98" s="17">
        <f>IF(A98&lt;$E$12,0,MIN($C$12,($F$12*$G$12)*(A98-$E$12+1)))</f>
        <v/>
      </c>
      <c r="E98" s="17">
        <f>IF(A98&lt;$E$13,0,MIN($C$13,($F$13*$G$13)*(A98-$E$13+1)))</f>
        <v/>
      </c>
      <c r="F98" s="17">
        <f>IF(A98&lt;$E$14,0,MIN($C$14,($F$14*$G$14)*(A98-$E$14+1)))</f>
        <v/>
      </c>
      <c r="G98" s="17">
        <f>IF(A98&lt;$E$15,0,MIN($C$15,($F$15*$G$15)*(A98-$E$15+1)))</f>
        <v/>
      </c>
      <c r="H98" s="17">
        <f>IF(A98&lt;$E$16,0,MIN($C$16,($F$16*$G$16)*(A98-$E$16+1)))</f>
        <v/>
      </c>
      <c r="I98" s="17">
        <f>IF(A98&lt;$E$17,0,MIN($C$17,($F$17*$G$17)*(A98-$E$17+1)))</f>
        <v/>
      </c>
      <c r="J98" s="17">
        <f>SUM(B98:I98)</f>
        <v/>
      </c>
      <c r="K98" s="17">
        <f>'Pilot districts'!$B$6-SUMPRODUCT(($E$10:$E$17&lt;=A98)*$C$10:$C$17)</f>
        <v/>
      </c>
    </row>
    <row r="99">
      <c r="A99" t="n">
        <v>77</v>
      </c>
      <c r="B99" s="17">
        <f>IF(A99&lt;$E$10,0,MIN($C$10,($F$10*$G$10)*(A99-$E$10+1)))</f>
        <v/>
      </c>
      <c r="C99" s="17">
        <f>IF(A99&lt;$E$11,0,MIN($C$11,($F$11*$G$11)*(A99-$E$11+1)))</f>
        <v/>
      </c>
      <c r="D99" s="17">
        <f>IF(A99&lt;$E$12,0,MIN($C$12,($F$12*$G$12)*(A99-$E$12+1)))</f>
        <v/>
      </c>
      <c r="E99" s="17">
        <f>IF(A99&lt;$E$13,0,MIN($C$13,($F$13*$G$13)*(A99-$E$13+1)))</f>
        <v/>
      </c>
      <c r="F99" s="17">
        <f>IF(A99&lt;$E$14,0,MIN($C$14,($F$14*$G$14)*(A99-$E$14+1)))</f>
        <v/>
      </c>
      <c r="G99" s="17">
        <f>IF(A99&lt;$E$15,0,MIN($C$15,($F$15*$G$15)*(A99-$E$15+1)))</f>
        <v/>
      </c>
      <c r="H99" s="17">
        <f>IF(A99&lt;$E$16,0,MIN($C$16,($F$16*$G$16)*(A99-$E$16+1)))</f>
        <v/>
      </c>
      <c r="I99" s="17">
        <f>IF(A99&lt;$E$17,0,MIN($C$17,($F$17*$G$17)*(A99-$E$17+1)))</f>
        <v/>
      </c>
      <c r="J99" s="17">
        <f>SUM(B99:I99)</f>
        <v/>
      </c>
      <c r="K99" s="17">
        <f>'Pilot districts'!$B$6-SUMPRODUCT(($E$10:$E$17&lt;=A99)*$C$10:$C$17)</f>
        <v/>
      </c>
    </row>
    <row r="100">
      <c r="A100" t="n">
        <v>78</v>
      </c>
      <c r="B100" s="17">
        <f>IF(A100&lt;$E$10,0,MIN($C$10,($F$10*$G$10)*(A100-$E$10+1)))</f>
        <v/>
      </c>
      <c r="C100" s="17">
        <f>IF(A100&lt;$E$11,0,MIN($C$11,($F$11*$G$11)*(A100-$E$11+1)))</f>
        <v/>
      </c>
      <c r="D100" s="17">
        <f>IF(A100&lt;$E$12,0,MIN($C$12,($F$12*$G$12)*(A100-$E$12+1)))</f>
        <v/>
      </c>
      <c r="E100" s="17">
        <f>IF(A100&lt;$E$13,0,MIN($C$13,($F$13*$G$13)*(A100-$E$13+1)))</f>
        <v/>
      </c>
      <c r="F100" s="17">
        <f>IF(A100&lt;$E$14,0,MIN($C$14,($F$14*$G$14)*(A100-$E$14+1)))</f>
        <v/>
      </c>
      <c r="G100" s="17">
        <f>IF(A100&lt;$E$15,0,MIN($C$15,($F$15*$G$15)*(A100-$E$15+1)))</f>
        <v/>
      </c>
      <c r="H100" s="17">
        <f>IF(A100&lt;$E$16,0,MIN($C$16,($F$16*$G$16)*(A100-$E$16+1)))</f>
        <v/>
      </c>
      <c r="I100" s="17">
        <f>IF(A100&lt;$E$17,0,MIN($C$17,($F$17*$G$17)*(A100-$E$17+1)))</f>
        <v/>
      </c>
      <c r="J100" s="17">
        <f>SUM(B100:I100)</f>
        <v/>
      </c>
      <c r="K100" s="17">
        <f>'Pilot districts'!$B$6-SUMPRODUCT(($E$10:$E$17&lt;=A100)*$C$10:$C$17)</f>
        <v/>
      </c>
    </row>
    <row r="101">
      <c r="A101" t="n">
        <v>79</v>
      </c>
      <c r="B101" s="17">
        <f>IF(A101&lt;$E$10,0,MIN($C$10,($F$10*$G$10)*(A101-$E$10+1)))</f>
        <v/>
      </c>
      <c r="C101" s="17">
        <f>IF(A101&lt;$E$11,0,MIN($C$11,($F$11*$G$11)*(A101-$E$11+1)))</f>
        <v/>
      </c>
      <c r="D101" s="17">
        <f>IF(A101&lt;$E$12,0,MIN($C$12,($F$12*$G$12)*(A101-$E$12+1)))</f>
        <v/>
      </c>
      <c r="E101" s="17">
        <f>IF(A101&lt;$E$13,0,MIN($C$13,($F$13*$G$13)*(A101-$E$13+1)))</f>
        <v/>
      </c>
      <c r="F101" s="17">
        <f>IF(A101&lt;$E$14,0,MIN($C$14,($F$14*$G$14)*(A101-$E$14+1)))</f>
        <v/>
      </c>
      <c r="G101" s="17">
        <f>IF(A101&lt;$E$15,0,MIN($C$15,($F$15*$G$15)*(A101-$E$15+1)))</f>
        <v/>
      </c>
      <c r="H101" s="17">
        <f>IF(A101&lt;$E$16,0,MIN($C$16,($F$16*$G$16)*(A101-$E$16+1)))</f>
        <v/>
      </c>
      <c r="I101" s="17">
        <f>IF(A101&lt;$E$17,0,MIN($C$17,($F$17*$G$17)*(A101-$E$17+1)))</f>
        <v/>
      </c>
      <c r="J101" s="17">
        <f>SUM(B101:I101)</f>
        <v/>
      </c>
      <c r="K101" s="17">
        <f>'Pilot districts'!$B$6-SUMPRODUCT(($E$10:$E$17&lt;=A101)*$C$10:$C$17)</f>
        <v/>
      </c>
    </row>
    <row r="102">
      <c r="A102" t="n">
        <v>80</v>
      </c>
      <c r="B102" s="17">
        <f>IF(A102&lt;$E$10,0,MIN($C$10,($F$10*$G$10)*(A102-$E$10+1)))</f>
        <v/>
      </c>
      <c r="C102" s="17">
        <f>IF(A102&lt;$E$11,0,MIN($C$11,($F$11*$G$11)*(A102-$E$11+1)))</f>
        <v/>
      </c>
      <c r="D102" s="17">
        <f>IF(A102&lt;$E$12,0,MIN($C$12,($F$12*$G$12)*(A102-$E$12+1)))</f>
        <v/>
      </c>
      <c r="E102" s="17">
        <f>IF(A102&lt;$E$13,0,MIN($C$13,($F$13*$G$13)*(A102-$E$13+1)))</f>
        <v/>
      </c>
      <c r="F102" s="17">
        <f>IF(A102&lt;$E$14,0,MIN($C$14,($F$14*$G$14)*(A102-$E$14+1)))</f>
        <v/>
      </c>
      <c r="G102" s="17">
        <f>IF(A102&lt;$E$15,0,MIN($C$15,($F$15*$G$15)*(A102-$E$15+1)))</f>
        <v/>
      </c>
      <c r="H102" s="17">
        <f>IF(A102&lt;$E$16,0,MIN($C$16,($F$16*$G$16)*(A102-$E$16+1)))</f>
        <v/>
      </c>
      <c r="I102" s="17">
        <f>IF(A102&lt;$E$17,0,MIN($C$17,($F$17*$G$17)*(A102-$E$17+1)))</f>
        <v/>
      </c>
      <c r="J102" s="17">
        <f>SUM(B102:I102)</f>
        <v/>
      </c>
      <c r="K102" s="17">
        <f>'Pilot districts'!$B$6-SUMPRODUCT(($E$10:$E$17&lt;=A102)*$C$10:$C$17)</f>
        <v/>
      </c>
    </row>
    <row r="103">
      <c r="A103" t="n">
        <v>81</v>
      </c>
      <c r="B103" s="17">
        <f>IF(A103&lt;$E$10,0,MIN($C$10,($F$10*$G$10)*(A103-$E$10+1)))</f>
        <v/>
      </c>
      <c r="C103" s="17">
        <f>IF(A103&lt;$E$11,0,MIN($C$11,($F$11*$G$11)*(A103-$E$11+1)))</f>
        <v/>
      </c>
      <c r="D103" s="17">
        <f>IF(A103&lt;$E$12,0,MIN($C$12,($F$12*$G$12)*(A103-$E$12+1)))</f>
        <v/>
      </c>
      <c r="E103" s="17">
        <f>IF(A103&lt;$E$13,0,MIN($C$13,($F$13*$G$13)*(A103-$E$13+1)))</f>
        <v/>
      </c>
      <c r="F103" s="17">
        <f>IF(A103&lt;$E$14,0,MIN($C$14,($F$14*$G$14)*(A103-$E$14+1)))</f>
        <v/>
      </c>
      <c r="G103" s="17">
        <f>IF(A103&lt;$E$15,0,MIN($C$15,($F$15*$G$15)*(A103-$E$15+1)))</f>
        <v/>
      </c>
      <c r="H103" s="17">
        <f>IF(A103&lt;$E$16,0,MIN($C$16,($F$16*$G$16)*(A103-$E$16+1)))</f>
        <v/>
      </c>
      <c r="I103" s="17">
        <f>IF(A103&lt;$E$17,0,MIN($C$17,($F$17*$G$17)*(A103-$E$17+1)))</f>
        <v/>
      </c>
      <c r="J103" s="17">
        <f>SUM(B103:I103)</f>
        <v/>
      </c>
      <c r="K103" s="17">
        <f>'Pilot districts'!$B$6-SUMPRODUCT(($E$10:$E$17&lt;=A103)*$C$10:$C$17)</f>
        <v/>
      </c>
    </row>
    <row r="104">
      <c r="A104" t="n">
        <v>82</v>
      </c>
      <c r="B104" s="17">
        <f>IF(A104&lt;$E$10,0,MIN($C$10,($F$10*$G$10)*(A104-$E$10+1)))</f>
        <v/>
      </c>
      <c r="C104" s="17">
        <f>IF(A104&lt;$E$11,0,MIN($C$11,($F$11*$G$11)*(A104-$E$11+1)))</f>
        <v/>
      </c>
      <c r="D104" s="17">
        <f>IF(A104&lt;$E$12,0,MIN($C$12,($F$12*$G$12)*(A104-$E$12+1)))</f>
        <v/>
      </c>
      <c r="E104" s="17">
        <f>IF(A104&lt;$E$13,0,MIN($C$13,($F$13*$G$13)*(A104-$E$13+1)))</f>
        <v/>
      </c>
      <c r="F104" s="17">
        <f>IF(A104&lt;$E$14,0,MIN($C$14,($F$14*$G$14)*(A104-$E$14+1)))</f>
        <v/>
      </c>
      <c r="G104" s="17">
        <f>IF(A104&lt;$E$15,0,MIN($C$15,($F$15*$G$15)*(A104-$E$15+1)))</f>
        <v/>
      </c>
      <c r="H104" s="17">
        <f>IF(A104&lt;$E$16,0,MIN($C$16,($F$16*$G$16)*(A104-$E$16+1)))</f>
        <v/>
      </c>
      <c r="I104" s="17">
        <f>IF(A104&lt;$E$17,0,MIN($C$17,($F$17*$G$17)*(A104-$E$17+1)))</f>
        <v/>
      </c>
      <c r="J104" s="17">
        <f>SUM(B104:I104)</f>
        <v/>
      </c>
      <c r="K104" s="17">
        <f>'Pilot districts'!$B$6-SUMPRODUCT(($E$10:$E$17&lt;=A104)*$C$10:$C$17)</f>
        <v/>
      </c>
    </row>
    <row r="105">
      <c r="A105" t="n">
        <v>83</v>
      </c>
      <c r="B105" s="17">
        <f>IF(A105&lt;$E$10,0,MIN($C$10,($F$10*$G$10)*(A105-$E$10+1)))</f>
        <v/>
      </c>
      <c r="C105" s="17">
        <f>IF(A105&lt;$E$11,0,MIN($C$11,($F$11*$G$11)*(A105-$E$11+1)))</f>
        <v/>
      </c>
      <c r="D105" s="17">
        <f>IF(A105&lt;$E$12,0,MIN($C$12,($F$12*$G$12)*(A105-$E$12+1)))</f>
        <v/>
      </c>
      <c r="E105" s="17">
        <f>IF(A105&lt;$E$13,0,MIN($C$13,($F$13*$G$13)*(A105-$E$13+1)))</f>
        <v/>
      </c>
      <c r="F105" s="17">
        <f>IF(A105&lt;$E$14,0,MIN($C$14,($F$14*$G$14)*(A105-$E$14+1)))</f>
        <v/>
      </c>
      <c r="G105" s="17">
        <f>IF(A105&lt;$E$15,0,MIN($C$15,($F$15*$G$15)*(A105-$E$15+1)))</f>
        <v/>
      </c>
      <c r="H105" s="17">
        <f>IF(A105&lt;$E$16,0,MIN($C$16,($F$16*$G$16)*(A105-$E$16+1)))</f>
        <v/>
      </c>
      <c r="I105" s="17">
        <f>IF(A105&lt;$E$17,0,MIN($C$17,($F$17*$G$17)*(A105-$E$17+1)))</f>
        <v/>
      </c>
      <c r="J105" s="17">
        <f>SUM(B105:I105)</f>
        <v/>
      </c>
      <c r="K105" s="17">
        <f>'Pilot districts'!$B$6-SUMPRODUCT(($E$10:$E$17&lt;=A105)*$C$10:$C$17)</f>
        <v/>
      </c>
    </row>
    <row r="106">
      <c r="A106" t="n">
        <v>84</v>
      </c>
      <c r="B106" s="17">
        <f>IF(A106&lt;$E$10,0,MIN($C$10,($F$10*$G$10)*(A106-$E$10+1)))</f>
        <v/>
      </c>
      <c r="C106" s="17">
        <f>IF(A106&lt;$E$11,0,MIN($C$11,($F$11*$G$11)*(A106-$E$11+1)))</f>
        <v/>
      </c>
      <c r="D106" s="17">
        <f>IF(A106&lt;$E$12,0,MIN($C$12,($F$12*$G$12)*(A106-$E$12+1)))</f>
        <v/>
      </c>
      <c r="E106" s="17">
        <f>IF(A106&lt;$E$13,0,MIN($C$13,($F$13*$G$13)*(A106-$E$13+1)))</f>
        <v/>
      </c>
      <c r="F106" s="17">
        <f>IF(A106&lt;$E$14,0,MIN($C$14,($F$14*$G$14)*(A106-$E$14+1)))</f>
        <v/>
      </c>
      <c r="G106" s="17">
        <f>IF(A106&lt;$E$15,0,MIN($C$15,($F$15*$G$15)*(A106-$E$15+1)))</f>
        <v/>
      </c>
      <c r="H106" s="17">
        <f>IF(A106&lt;$E$16,0,MIN($C$16,($F$16*$G$16)*(A106-$E$16+1)))</f>
        <v/>
      </c>
      <c r="I106" s="17">
        <f>IF(A106&lt;$E$17,0,MIN($C$17,($F$17*$G$17)*(A106-$E$17+1)))</f>
        <v/>
      </c>
      <c r="J106" s="17">
        <f>SUM(B106:I106)</f>
        <v/>
      </c>
      <c r="K106" s="17">
        <f>'Pilot districts'!$B$6-SUMPRODUCT(($E$10:$E$17&lt;=A106)*$C$10:$C$17)</f>
        <v/>
      </c>
    </row>
    <row r="107">
      <c r="A107" t="n">
        <v>85</v>
      </c>
      <c r="B107" s="17">
        <f>IF(A107&lt;$E$10,0,MIN($C$10,($F$10*$G$10)*(A107-$E$10+1)))</f>
        <v/>
      </c>
      <c r="C107" s="17">
        <f>IF(A107&lt;$E$11,0,MIN($C$11,($F$11*$G$11)*(A107-$E$11+1)))</f>
        <v/>
      </c>
      <c r="D107" s="17">
        <f>IF(A107&lt;$E$12,0,MIN($C$12,($F$12*$G$12)*(A107-$E$12+1)))</f>
        <v/>
      </c>
      <c r="E107" s="17">
        <f>IF(A107&lt;$E$13,0,MIN($C$13,($F$13*$G$13)*(A107-$E$13+1)))</f>
        <v/>
      </c>
      <c r="F107" s="17">
        <f>IF(A107&lt;$E$14,0,MIN($C$14,($F$14*$G$14)*(A107-$E$14+1)))</f>
        <v/>
      </c>
      <c r="G107" s="17">
        <f>IF(A107&lt;$E$15,0,MIN($C$15,($F$15*$G$15)*(A107-$E$15+1)))</f>
        <v/>
      </c>
      <c r="H107" s="17">
        <f>IF(A107&lt;$E$16,0,MIN($C$16,($F$16*$G$16)*(A107-$E$16+1)))</f>
        <v/>
      </c>
      <c r="I107" s="17">
        <f>IF(A107&lt;$E$17,0,MIN($C$17,($F$17*$G$17)*(A107-$E$17+1)))</f>
        <v/>
      </c>
      <c r="J107" s="17">
        <f>SUM(B107:I107)</f>
        <v/>
      </c>
      <c r="K107" s="17">
        <f>'Pilot districts'!$B$6-SUMPRODUCT(($E$10:$E$17&lt;=A107)*$C$10:$C$17)</f>
        <v/>
      </c>
    </row>
    <row r="108">
      <c r="A108" t="n">
        <v>86</v>
      </c>
      <c r="B108" s="17">
        <f>IF(A108&lt;$E$10,0,MIN($C$10,($F$10*$G$10)*(A108-$E$10+1)))</f>
        <v/>
      </c>
      <c r="C108" s="17">
        <f>IF(A108&lt;$E$11,0,MIN($C$11,($F$11*$G$11)*(A108-$E$11+1)))</f>
        <v/>
      </c>
      <c r="D108" s="17">
        <f>IF(A108&lt;$E$12,0,MIN($C$12,($F$12*$G$12)*(A108-$E$12+1)))</f>
        <v/>
      </c>
      <c r="E108" s="17">
        <f>IF(A108&lt;$E$13,0,MIN($C$13,($F$13*$G$13)*(A108-$E$13+1)))</f>
        <v/>
      </c>
      <c r="F108" s="17">
        <f>IF(A108&lt;$E$14,0,MIN($C$14,($F$14*$G$14)*(A108-$E$14+1)))</f>
        <v/>
      </c>
      <c r="G108" s="17">
        <f>IF(A108&lt;$E$15,0,MIN($C$15,($F$15*$G$15)*(A108-$E$15+1)))</f>
        <v/>
      </c>
      <c r="H108" s="17">
        <f>IF(A108&lt;$E$16,0,MIN($C$16,($F$16*$G$16)*(A108-$E$16+1)))</f>
        <v/>
      </c>
      <c r="I108" s="17">
        <f>IF(A108&lt;$E$17,0,MIN($C$17,($F$17*$G$17)*(A108-$E$17+1)))</f>
        <v/>
      </c>
      <c r="J108" s="17">
        <f>SUM(B108:I108)</f>
        <v/>
      </c>
      <c r="K108" s="17">
        <f>'Pilot districts'!$B$6-SUMPRODUCT(($E$10:$E$17&lt;=A108)*$C$10:$C$17)</f>
        <v/>
      </c>
    </row>
    <row r="109">
      <c r="A109" t="n">
        <v>87</v>
      </c>
      <c r="B109" s="17">
        <f>IF(A109&lt;$E$10,0,MIN($C$10,($F$10*$G$10)*(A109-$E$10+1)))</f>
        <v/>
      </c>
      <c r="C109" s="17">
        <f>IF(A109&lt;$E$11,0,MIN($C$11,($F$11*$G$11)*(A109-$E$11+1)))</f>
        <v/>
      </c>
      <c r="D109" s="17">
        <f>IF(A109&lt;$E$12,0,MIN($C$12,($F$12*$G$12)*(A109-$E$12+1)))</f>
        <v/>
      </c>
      <c r="E109" s="17">
        <f>IF(A109&lt;$E$13,0,MIN($C$13,($F$13*$G$13)*(A109-$E$13+1)))</f>
        <v/>
      </c>
      <c r="F109" s="17">
        <f>IF(A109&lt;$E$14,0,MIN($C$14,($F$14*$G$14)*(A109-$E$14+1)))</f>
        <v/>
      </c>
      <c r="G109" s="17">
        <f>IF(A109&lt;$E$15,0,MIN($C$15,($F$15*$G$15)*(A109-$E$15+1)))</f>
        <v/>
      </c>
      <c r="H109" s="17">
        <f>IF(A109&lt;$E$16,0,MIN($C$16,($F$16*$G$16)*(A109-$E$16+1)))</f>
        <v/>
      </c>
      <c r="I109" s="17">
        <f>IF(A109&lt;$E$17,0,MIN($C$17,($F$17*$G$17)*(A109-$E$17+1)))</f>
        <v/>
      </c>
      <c r="J109" s="17">
        <f>SUM(B109:I109)</f>
        <v/>
      </c>
      <c r="K109" s="17">
        <f>'Pilot districts'!$B$6-SUMPRODUCT(($E$10:$E$17&lt;=A109)*$C$10:$C$17)</f>
        <v/>
      </c>
    </row>
    <row r="110">
      <c r="A110" t="n">
        <v>88</v>
      </c>
      <c r="B110" s="17">
        <f>IF(A110&lt;$E$10,0,MIN($C$10,($F$10*$G$10)*(A110-$E$10+1)))</f>
        <v/>
      </c>
      <c r="C110" s="17">
        <f>IF(A110&lt;$E$11,0,MIN($C$11,($F$11*$G$11)*(A110-$E$11+1)))</f>
        <v/>
      </c>
      <c r="D110" s="17">
        <f>IF(A110&lt;$E$12,0,MIN($C$12,($F$12*$G$12)*(A110-$E$12+1)))</f>
        <v/>
      </c>
      <c r="E110" s="17">
        <f>IF(A110&lt;$E$13,0,MIN($C$13,($F$13*$G$13)*(A110-$E$13+1)))</f>
        <v/>
      </c>
      <c r="F110" s="17">
        <f>IF(A110&lt;$E$14,0,MIN($C$14,($F$14*$G$14)*(A110-$E$14+1)))</f>
        <v/>
      </c>
      <c r="G110" s="17">
        <f>IF(A110&lt;$E$15,0,MIN($C$15,($F$15*$G$15)*(A110-$E$15+1)))</f>
        <v/>
      </c>
      <c r="H110" s="17">
        <f>IF(A110&lt;$E$16,0,MIN($C$16,($F$16*$G$16)*(A110-$E$16+1)))</f>
        <v/>
      </c>
      <c r="I110" s="17">
        <f>IF(A110&lt;$E$17,0,MIN($C$17,($F$17*$G$17)*(A110-$E$17+1)))</f>
        <v/>
      </c>
      <c r="J110" s="17">
        <f>SUM(B110:I110)</f>
        <v/>
      </c>
      <c r="K110" s="17">
        <f>'Pilot districts'!$B$6-SUMPRODUCT(($E$10:$E$17&lt;=A110)*$C$10:$C$17)</f>
        <v/>
      </c>
    </row>
    <row r="111">
      <c r="A111" t="n">
        <v>89</v>
      </c>
      <c r="B111" s="17">
        <f>IF(A111&lt;$E$10,0,MIN($C$10,($F$10*$G$10)*(A111-$E$10+1)))</f>
        <v/>
      </c>
      <c r="C111" s="17">
        <f>IF(A111&lt;$E$11,0,MIN($C$11,($F$11*$G$11)*(A111-$E$11+1)))</f>
        <v/>
      </c>
      <c r="D111" s="17">
        <f>IF(A111&lt;$E$12,0,MIN($C$12,($F$12*$G$12)*(A111-$E$12+1)))</f>
        <v/>
      </c>
      <c r="E111" s="17">
        <f>IF(A111&lt;$E$13,0,MIN($C$13,($F$13*$G$13)*(A111-$E$13+1)))</f>
        <v/>
      </c>
      <c r="F111" s="17">
        <f>IF(A111&lt;$E$14,0,MIN($C$14,($F$14*$G$14)*(A111-$E$14+1)))</f>
        <v/>
      </c>
      <c r="G111" s="17">
        <f>IF(A111&lt;$E$15,0,MIN($C$15,($F$15*$G$15)*(A111-$E$15+1)))</f>
        <v/>
      </c>
      <c r="H111" s="17">
        <f>IF(A111&lt;$E$16,0,MIN($C$16,($F$16*$G$16)*(A111-$E$16+1)))</f>
        <v/>
      </c>
      <c r="I111" s="17">
        <f>IF(A111&lt;$E$17,0,MIN($C$17,($F$17*$G$17)*(A111-$E$17+1)))</f>
        <v/>
      </c>
      <c r="J111" s="17">
        <f>SUM(B111:I111)</f>
        <v/>
      </c>
      <c r="K111" s="17">
        <f>'Pilot districts'!$B$6-SUMPRODUCT(($E$10:$E$17&lt;=A111)*$C$10:$C$17)</f>
        <v/>
      </c>
    </row>
    <row r="112">
      <c r="A112" t="n">
        <v>90</v>
      </c>
      <c r="B112" s="17">
        <f>IF(A112&lt;$E$10,0,MIN($C$10,($F$10*$G$10)*(A112-$E$10+1)))</f>
        <v/>
      </c>
      <c r="C112" s="17">
        <f>IF(A112&lt;$E$11,0,MIN($C$11,($F$11*$G$11)*(A112-$E$11+1)))</f>
        <v/>
      </c>
      <c r="D112" s="17">
        <f>IF(A112&lt;$E$12,0,MIN($C$12,($F$12*$G$12)*(A112-$E$12+1)))</f>
        <v/>
      </c>
      <c r="E112" s="17">
        <f>IF(A112&lt;$E$13,0,MIN($C$13,($F$13*$G$13)*(A112-$E$13+1)))</f>
        <v/>
      </c>
      <c r="F112" s="17">
        <f>IF(A112&lt;$E$14,0,MIN($C$14,($F$14*$G$14)*(A112-$E$14+1)))</f>
        <v/>
      </c>
      <c r="G112" s="17">
        <f>IF(A112&lt;$E$15,0,MIN($C$15,($F$15*$G$15)*(A112-$E$15+1)))</f>
        <v/>
      </c>
      <c r="H112" s="17">
        <f>IF(A112&lt;$E$16,0,MIN($C$16,($F$16*$G$16)*(A112-$E$16+1)))</f>
        <v/>
      </c>
      <c r="I112" s="17">
        <f>IF(A112&lt;$E$17,0,MIN($C$17,($F$17*$G$17)*(A112-$E$17+1)))</f>
        <v/>
      </c>
      <c r="J112" s="17">
        <f>SUM(B112:I112)</f>
        <v/>
      </c>
      <c r="K112" s="17">
        <f>'Pilot districts'!$B$6-SUMPRODUCT(($E$10:$E$17&lt;=A112)*$C$10:$C$17)</f>
        <v/>
      </c>
    </row>
    <row r="113">
      <c r="A113" t="n">
        <v>91</v>
      </c>
      <c r="B113" s="17">
        <f>IF(A113&lt;$E$10,0,MIN($C$10,($F$10*$G$10)*(A113-$E$10+1)))</f>
        <v/>
      </c>
      <c r="C113" s="17">
        <f>IF(A113&lt;$E$11,0,MIN($C$11,($F$11*$G$11)*(A113-$E$11+1)))</f>
        <v/>
      </c>
      <c r="D113" s="17">
        <f>IF(A113&lt;$E$12,0,MIN($C$12,($F$12*$G$12)*(A113-$E$12+1)))</f>
        <v/>
      </c>
      <c r="E113" s="17">
        <f>IF(A113&lt;$E$13,0,MIN($C$13,($F$13*$G$13)*(A113-$E$13+1)))</f>
        <v/>
      </c>
      <c r="F113" s="17">
        <f>IF(A113&lt;$E$14,0,MIN($C$14,($F$14*$G$14)*(A113-$E$14+1)))</f>
        <v/>
      </c>
      <c r="G113" s="17">
        <f>IF(A113&lt;$E$15,0,MIN($C$15,($F$15*$G$15)*(A113-$E$15+1)))</f>
        <v/>
      </c>
      <c r="H113" s="17">
        <f>IF(A113&lt;$E$16,0,MIN($C$16,($F$16*$G$16)*(A113-$E$16+1)))</f>
        <v/>
      </c>
      <c r="I113" s="17">
        <f>IF(A113&lt;$E$17,0,MIN($C$17,($F$17*$G$17)*(A113-$E$17+1)))</f>
        <v/>
      </c>
      <c r="J113" s="17">
        <f>SUM(B113:I113)</f>
        <v/>
      </c>
      <c r="K113" s="17">
        <f>'Pilot districts'!$B$6-SUMPRODUCT(($E$10:$E$17&lt;=A113)*$C$10:$C$17)</f>
        <v/>
      </c>
    </row>
    <row r="114">
      <c r="A114" t="n">
        <v>92</v>
      </c>
      <c r="B114" s="17">
        <f>IF(A114&lt;$E$10,0,MIN($C$10,($F$10*$G$10)*(A114-$E$10+1)))</f>
        <v/>
      </c>
      <c r="C114" s="17">
        <f>IF(A114&lt;$E$11,0,MIN($C$11,($F$11*$G$11)*(A114-$E$11+1)))</f>
        <v/>
      </c>
      <c r="D114" s="17">
        <f>IF(A114&lt;$E$12,0,MIN($C$12,($F$12*$G$12)*(A114-$E$12+1)))</f>
        <v/>
      </c>
      <c r="E114" s="17">
        <f>IF(A114&lt;$E$13,0,MIN($C$13,($F$13*$G$13)*(A114-$E$13+1)))</f>
        <v/>
      </c>
      <c r="F114" s="17">
        <f>IF(A114&lt;$E$14,0,MIN($C$14,($F$14*$G$14)*(A114-$E$14+1)))</f>
        <v/>
      </c>
      <c r="G114" s="17">
        <f>IF(A114&lt;$E$15,0,MIN($C$15,($F$15*$G$15)*(A114-$E$15+1)))</f>
        <v/>
      </c>
      <c r="H114" s="17">
        <f>IF(A114&lt;$E$16,0,MIN($C$16,($F$16*$G$16)*(A114-$E$16+1)))</f>
        <v/>
      </c>
      <c r="I114" s="17">
        <f>IF(A114&lt;$E$17,0,MIN($C$17,($F$17*$G$17)*(A114-$E$17+1)))</f>
        <v/>
      </c>
      <c r="J114" s="17">
        <f>SUM(B114:I114)</f>
        <v/>
      </c>
      <c r="K114" s="17">
        <f>'Pilot districts'!$B$6-SUMPRODUCT(($E$10:$E$17&lt;=A114)*$C$10:$C$17)</f>
        <v/>
      </c>
    </row>
    <row r="115">
      <c r="A115" t="n">
        <v>93</v>
      </c>
      <c r="B115" s="17">
        <f>IF(A115&lt;$E$10,0,MIN($C$10,($F$10*$G$10)*(A115-$E$10+1)))</f>
        <v/>
      </c>
      <c r="C115" s="17">
        <f>IF(A115&lt;$E$11,0,MIN($C$11,($F$11*$G$11)*(A115-$E$11+1)))</f>
        <v/>
      </c>
      <c r="D115" s="17">
        <f>IF(A115&lt;$E$12,0,MIN($C$12,($F$12*$G$12)*(A115-$E$12+1)))</f>
        <v/>
      </c>
      <c r="E115" s="17">
        <f>IF(A115&lt;$E$13,0,MIN($C$13,($F$13*$G$13)*(A115-$E$13+1)))</f>
        <v/>
      </c>
      <c r="F115" s="17">
        <f>IF(A115&lt;$E$14,0,MIN($C$14,($F$14*$G$14)*(A115-$E$14+1)))</f>
        <v/>
      </c>
      <c r="G115" s="17">
        <f>IF(A115&lt;$E$15,0,MIN($C$15,($F$15*$G$15)*(A115-$E$15+1)))</f>
        <v/>
      </c>
      <c r="H115" s="17">
        <f>IF(A115&lt;$E$16,0,MIN($C$16,($F$16*$G$16)*(A115-$E$16+1)))</f>
        <v/>
      </c>
      <c r="I115" s="17">
        <f>IF(A115&lt;$E$17,0,MIN($C$17,($F$17*$G$17)*(A115-$E$17+1)))</f>
        <v/>
      </c>
      <c r="J115" s="17">
        <f>SUM(B115:I115)</f>
        <v/>
      </c>
      <c r="K115" s="17">
        <f>'Pilot districts'!$B$6-SUMPRODUCT(($E$10:$E$17&lt;=A115)*$C$10:$C$17)</f>
        <v/>
      </c>
    </row>
    <row r="116">
      <c r="A116" t="n">
        <v>94</v>
      </c>
      <c r="B116" s="17">
        <f>IF(A116&lt;$E$10,0,MIN($C$10,($F$10*$G$10)*(A116-$E$10+1)))</f>
        <v/>
      </c>
      <c r="C116" s="17">
        <f>IF(A116&lt;$E$11,0,MIN($C$11,($F$11*$G$11)*(A116-$E$11+1)))</f>
        <v/>
      </c>
      <c r="D116" s="17">
        <f>IF(A116&lt;$E$12,0,MIN($C$12,($F$12*$G$12)*(A116-$E$12+1)))</f>
        <v/>
      </c>
      <c r="E116" s="17">
        <f>IF(A116&lt;$E$13,0,MIN($C$13,($F$13*$G$13)*(A116-$E$13+1)))</f>
        <v/>
      </c>
      <c r="F116" s="17">
        <f>IF(A116&lt;$E$14,0,MIN($C$14,($F$14*$G$14)*(A116-$E$14+1)))</f>
        <v/>
      </c>
      <c r="G116" s="17">
        <f>IF(A116&lt;$E$15,0,MIN($C$15,($F$15*$G$15)*(A116-$E$15+1)))</f>
        <v/>
      </c>
      <c r="H116" s="17">
        <f>IF(A116&lt;$E$16,0,MIN($C$16,($F$16*$G$16)*(A116-$E$16+1)))</f>
        <v/>
      </c>
      <c r="I116" s="17">
        <f>IF(A116&lt;$E$17,0,MIN($C$17,($F$17*$G$17)*(A116-$E$17+1)))</f>
        <v/>
      </c>
      <c r="J116" s="17">
        <f>SUM(B116:I116)</f>
        <v/>
      </c>
      <c r="K116" s="17">
        <f>'Pilot districts'!$B$6-SUMPRODUCT(($E$10:$E$17&lt;=A116)*$C$10:$C$17)</f>
        <v/>
      </c>
    </row>
    <row r="117">
      <c r="A117" t="n">
        <v>95</v>
      </c>
      <c r="B117" s="17">
        <f>IF(A117&lt;$E$10,0,MIN($C$10,($F$10*$G$10)*(A117-$E$10+1)))</f>
        <v/>
      </c>
      <c r="C117" s="17">
        <f>IF(A117&lt;$E$11,0,MIN($C$11,($F$11*$G$11)*(A117-$E$11+1)))</f>
        <v/>
      </c>
      <c r="D117" s="17">
        <f>IF(A117&lt;$E$12,0,MIN($C$12,($F$12*$G$12)*(A117-$E$12+1)))</f>
        <v/>
      </c>
      <c r="E117" s="17">
        <f>IF(A117&lt;$E$13,0,MIN($C$13,($F$13*$G$13)*(A117-$E$13+1)))</f>
        <v/>
      </c>
      <c r="F117" s="17">
        <f>IF(A117&lt;$E$14,0,MIN($C$14,($F$14*$G$14)*(A117-$E$14+1)))</f>
        <v/>
      </c>
      <c r="G117" s="17">
        <f>IF(A117&lt;$E$15,0,MIN($C$15,($F$15*$G$15)*(A117-$E$15+1)))</f>
        <v/>
      </c>
      <c r="H117" s="17">
        <f>IF(A117&lt;$E$16,0,MIN($C$16,($F$16*$G$16)*(A117-$E$16+1)))</f>
        <v/>
      </c>
      <c r="I117" s="17">
        <f>IF(A117&lt;$E$17,0,MIN($C$17,($F$17*$G$17)*(A117-$E$17+1)))</f>
        <v/>
      </c>
      <c r="J117" s="17">
        <f>SUM(B117:I117)</f>
        <v/>
      </c>
      <c r="K117" s="17">
        <f>'Pilot districts'!$B$6-SUMPRODUCT(($E$10:$E$17&lt;=A117)*$C$10:$C$17)</f>
        <v/>
      </c>
    </row>
    <row r="118">
      <c r="A118" t="n">
        <v>96</v>
      </c>
      <c r="B118" s="17">
        <f>IF(A118&lt;$E$10,0,MIN($C$10,($F$10*$G$10)*(A118-$E$10+1)))</f>
        <v/>
      </c>
      <c r="C118" s="17">
        <f>IF(A118&lt;$E$11,0,MIN($C$11,($F$11*$G$11)*(A118-$E$11+1)))</f>
        <v/>
      </c>
      <c r="D118" s="17">
        <f>IF(A118&lt;$E$12,0,MIN($C$12,($F$12*$G$12)*(A118-$E$12+1)))</f>
        <v/>
      </c>
      <c r="E118" s="17">
        <f>IF(A118&lt;$E$13,0,MIN($C$13,($F$13*$G$13)*(A118-$E$13+1)))</f>
        <v/>
      </c>
      <c r="F118" s="17">
        <f>IF(A118&lt;$E$14,0,MIN($C$14,($F$14*$G$14)*(A118-$E$14+1)))</f>
        <v/>
      </c>
      <c r="G118" s="17">
        <f>IF(A118&lt;$E$15,0,MIN($C$15,($F$15*$G$15)*(A118-$E$15+1)))</f>
        <v/>
      </c>
      <c r="H118" s="17">
        <f>IF(A118&lt;$E$16,0,MIN($C$16,($F$16*$G$16)*(A118-$E$16+1)))</f>
        <v/>
      </c>
      <c r="I118" s="17">
        <f>IF(A118&lt;$E$17,0,MIN($C$17,($F$17*$G$17)*(A118-$E$17+1)))</f>
        <v/>
      </c>
      <c r="J118" s="17">
        <f>SUM(B118:I118)</f>
        <v/>
      </c>
      <c r="K118" s="17">
        <f>'Pilot districts'!$B$6-SUMPRODUCT(($E$10:$E$17&lt;=A118)*$C$10:$C$17)</f>
        <v/>
      </c>
    </row>
    <row r="119">
      <c r="A119" t="n">
        <v>97</v>
      </c>
      <c r="B119" s="17">
        <f>IF(A119&lt;$E$10,0,MIN($C$10,($F$10*$G$10)*(A119-$E$10+1)))</f>
        <v/>
      </c>
      <c r="C119" s="17">
        <f>IF(A119&lt;$E$11,0,MIN($C$11,($F$11*$G$11)*(A119-$E$11+1)))</f>
        <v/>
      </c>
      <c r="D119" s="17">
        <f>IF(A119&lt;$E$12,0,MIN($C$12,($F$12*$G$12)*(A119-$E$12+1)))</f>
        <v/>
      </c>
      <c r="E119" s="17">
        <f>IF(A119&lt;$E$13,0,MIN($C$13,($F$13*$G$13)*(A119-$E$13+1)))</f>
        <v/>
      </c>
      <c r="F119" s="17">
        <f>IF(A119&lt;$E$14,0,MIN($C$14,($F$14*$G$14)*(A119-$E$14+1)))</f>
        <v/>
      </c>
      <c r="G119" s="17">
        <f>IF(A119&lt;$E$15,0,MIN($C$15,($F$15*$G$15)*(A119-$E$15+1)))</f>
        <v/>
      </c>
      <c r="H119" s="17">
        <f>IF(A119&lt;$E$16,0,MIN($C$16,($F$16*$G$16)*(A119-$E$16+1)))</f>
        <v/>
      </c>
      <c r="I119" s="17">
        <f>IF(A119&lt;$E$17,0,MIN($C$17,($F$17*$G$17)*(A119-$E$17+1)))</f>
        <v/>
      </c>
      <c r="J119" s="17">
        <f>SUM(B119:I119)</f>
        <v/>
      </c>
      <c r="K119" s="17">
        <f>'Pilot districts'!$B$6-SUMPRODUCT(($E$10:$E$17&lt;=A119)*$C$10:$C$17)</f>
        <v/>
      </c>
    </row>
    <row r="120">
      <c r="A120" t="n">
        <v>98</v>
      </c>
      <c r="B120" s="17">
        <f>IF(A120&lt;$E$10,0,MIN($C$10,($F$10*$G$10)*(A120-$E$10+1)))</f>
        <v/>
      </c>
      <c r="C120" s="17">
        <f>IF(A120&lt;$E$11,0,MIN($C$11,($F$11*$G$11)*(A120-$E$11+1)))</f>
        <v/>
      </c>
      <c r="D120" s="17">
        <f>IF(A120&lt;$E$12,0,MIN($C$12,($F$12*$G$12)*(A120-$E$12+1)))</f>
        <v/>
      </c>
      <c r="E120" s="17">
        <f>IF(A120&lt;$E$13,0,MIN($C$13,($F$13*$G$13)*(A120-$E$13+1)))</f>
        <v/>
      </c>
      <c r="F120" s="17">
        <f>IF(A120&lt;$E$14,0,MIN($C$14,($F$14*$G$14)*(A120-$E$14+1)))</f>
        <v/>
      </c>
      <c r="G120" s="17">
        <f>IF(A120&lt;$E$15,0,MIN($C$15,($F$15*$G$15)*(A120-$E$15+1)))</f>
        <v/>
      </c>
      <c r="H120" s="17">
        <f>IF(A120&lt;$E$16,0,MIN($C$16,($F$16*$G$16)*(A120-$E$16+1)))</f>
        <v/>
      </c>
      <c r="I120" s="17">
        <f>IF(A120&lt;$E$17,0,MIN($C$17,($F$17*$G$17)*(A120-$E$17+1)))</f>
        <v/>
      </c>
      <c r="J120" s="17">
        <f>SUM(B120:I120)</f>
        <v/>
      </c>
      <c r="K120" s="17">
        <f>'Pilot districts'!$B$6-SUMPRODUCT(($E$10:$E$17&lt;=A120)*$C$10:$C$17)</f>
        <v/>
      </c>
    </row>
    <row r="121">
      <c r="A121" t="n">
        <v>99</v>
      </c>
      <c r="B121" s="17">
        <f>IF(A121&lt;$E$10,0,MIN($C$10,($F$10*$G$10)*(A121-$E$10+1)))</f>
        <v/>
      </c>
      <c r="C121" s="17">
        <f>IF(A121&lt;$E$11,0,MIN($C$11,($F$11*$G$11)*(A121-$E$11+1)))</f>
        <v/>
      </c>
      <c r="D121" s="17">
        <f>IF(A121&lt;$E$12,0,MIN($C$12,($F$12*$G$12)*(A121-$E$12+1)))</f>
        <v/>
      </c>
      <c r="E121" s="17">
        <f>IF(A121&lt;$E$13,0,MIN($C$13,($F$13*$G$13)*(A121-$E$13+1)))</f>
        <v/>
      </c>
      <c r="F121" s="17">
        <f>IF(A121&lt;$E$14,0,MIN($C$14,($F$14*$G$14)*(A121-$E$14+1)))</f>
        <v/>
      </c>
      <c r="G121" s="17">
        <f>IF(A121&lt;$E$15,0,MIN($C$15,($F$15*$G$15)*(A121-$E$15+1)))</f>
        <v/>
      </c>
      <c r="H121" s="17">
        <f>IF(A121&lt;$E$16,0,MIN($C$16,($F$16*$G$16)*(A121-$E$16+1)))</f>
        <v/>
      </c>
      <c r="I121" s="17">
        <f>IF(A121&lt;$E$17,0,MIN($C$17,($F$17*$G$17)*(A121-$E$17+1)))</f>
        <v/>
      </c>
      <c r="J121" s="17">
        <f>SUM(B121:I121)</f>
        <v/>
      </c>
      <c r="K121" s="17">
        <f>'Pilot districts'!$B$6-SUMPRODUCT(($E$10:$E$17&lt;=A121)*$C$10:$C$17)</f>
        <v/>
      </c>
    </row>
    <row r="122">
      <c r="A122" t="n">
        <v>100</v>
      </c>
      <c r="B122" s="17">
        <f>IF(A122&lt;$E$10,0,MIN($C$10,($F$10*$G$10)*(A122-$E$10+1)))</f>
        <v/>
      </c>
      <c r="C122" s="17">
        <f>IF(A122&lt;$E$11,0,MIN($C$11,($F$11*$G$11)*(A122-$E$11+1)))</f>
        <v/>
      </c>
      <c r="D122" s="17">
        <f>IF(A122&lt;$E$12,0,MIN($C$12,($F$12*$G$12)*(A122-$E$12+1)))</f>
        <v/>
      </c>
      <c r="E122" s="17">
        <f>IF(A122&lt;$E$13,0,MIN($C$13,($F$13*$G$13)*(A122-$E$13+1)))</f>
        <v/>
      </c>
      <c r="F122" s="17">
        <f>IF(A122&lt;$E$14,0,MIN($C$14,($F$14*$G$14)*(A122-$E$14+1)))</f>
        <v/>
      </c>
      <c r="G122" s="17">
        <f>IF(A122&lt;$E$15,0,MIN($C$15,($F$15*$G$15)*(A122-$E$15+1)))</f>
        <v/>
      </c>
      <c r="H122" s="17">
        <f>IF(A122&lt;$E$16,0,MIN($C$16,($F$16*$G$16)*(A122-$E$16+1)))</f>
        <v/>
      </c>
      <c r="I122" s="17">
        <f>IF(A122&lt;$E$17,0,MIN($C$17,($F$17*$G$17)*(A122-$E$17+1)))</f>
        <v/>
      </c>
      <c r="J122" s="17">
        <f>SUM(B122:I122)</f>
        <v/>
      </c>
      <c r="K122" s="17">
        <f>'Pilot districts'!$B$6-SUMPRODUCT(($E$10:$E$17&lt;=A122)*$C$10:$C$17)</f>
        <v/>
      </c>
    </row>
    <row r="123">
      <c r="A123" t="n">
        <v>101</v>
      </c>
      <c r="B123" s="17">
        <f>IF(A123&lt;$E$10,0,MIN($C$10,($F$10*$G$10)*(A123-$E$10+1)))</f>
        <v/>
      </c>
      <c r="C123" s="17">
        <f>IF(A123&lt;$E$11,0,MIN($C$11,($F$11*$G$11)*(A123-$E$11+1)))</f>
        <v/>
      </c>
      <c r="D123" s="17">
        <f>IF(A123&lt;$E$12,0,MIN($C$12,($F$12*$G$12)*(A123-$E$12+1)))</f>
        <v/>
      </c>
      <c r="E123" s="17">
        <f>IF(A123&lt;$E$13,0,MIN($C$13,($F$13*$G$13)*(A123-$E$13+1)))</f>
        <v/>
      </c>
      <c r="F123" s="17">
        <f>IF(A123&lt;$E$14,0,MIN($C$14,($F$14*$G$14)*(A123-$E$14+1)))</f>
        <v/>
      </c>
      <c r="G123" s="17">
        <f>IF(A123&lt;$E$15,0,MIN($C$15,($F$15*$G$15)*(A123-$E$15+1)))</f>
        <v/>
      </c>
      <c r="H123" s="17">
        <f>IF(A123&lt;$E$16,0,MIN($C$16,($F$16*$G$16)*(A123-$E$16+1)))</f>
        <v/>
      </c>
      <c r="I123" s="17">
        <f>IF(A123&lt;$E$17,0,MIN($C$17,($F$17*$G$17)*(A123-$E$17+1)))</f>
        <v/>
      </c>
      <c r="J123" s="17">
        <f>SUM(B123:I123)</f>
        <v/>
      </c>
      <c r="K123" s="17">
        <f>'Pilot districts'!$B$6-SUMPRODUCT(($E$10:$E$17&lt;=A123)*$C$10:$C$17)</f>
        <v/>
      </c>
    </row>
    <row r="124">
      <c r="A124" t="n">
        <v>102</v>
      </c>
      <c r="B124" s="17">
        <f>IF(A124&lt;$E$10,0,MIN($C$10,($F$10*$G$10)*(A124-$E$10+1)))</f>
        <v/>
      </c>
      <c r="C124" s="17">
        <f>IF(A124&lt;$E$11,0,MIN($C$11,($F$11*$G$11)*(A124-$E$11+1)))</f>
        <v/>
      </c>
      <c r="D124" s="17">
        <f>IF(A124&lt;$E$12,0,MIN($C$12,($F$12*$G$12)*(A124-$E$12+1)))</f>
        <v/>
      </c>
      <c r="E124" s="17">
        <f>IF(A124&lt;$E$13,0,MIN($C$13,($F$13*$G$13)*(A124-$E$13+1)))</f>
        <v/>
      </c>
      <c r="F124" s="17">
        <f>IF(A124&lt;$E$14,0,MIN($C$14,($F$14*$G$14)*(A124-$E$14+1)))</f>
        <v/>
      </c>
      <c r="G124" s="17">
        <f>IF(A124&lt;$E$15,0,MIN($C$15,($F$15*$G$15)*(A124-$E$15+1)))</f>
        <v/>
      </c>
      <c r="H124" s="17">
        <f>IF(A124&lt;$E$16,0,MIN($C$16,($F$16*$G$16)*(A124-$E$16+1)))</f>
        <v/>
      </c>
      <c r="I124" s="17">
        <f>IF(A124&lt;$E$17,0,MIN($C$17,($F$17*$G$17)*(A124-$E$17+1)))</f>
        <v/>
      </c>
      <c r="J124" s="17">
        <f>SUM(B124:I124)</f>
        <v/>
      </c>
      <c r="K124" s="17">
        <f>'Pilot districts'!$B$6-SUMPRODUCT(($E$10:$E$17&lt;=A124)*$C$10:$C$17)</f>
        <v/>
      </c>
    </row>
    <row r="125">
      <c r="A125" t="n">
        <v>103</v>
      </c>
      <c r="B125" s="17">
        <f>IF(A125&lt;$E$10,0,MIN($C$10,($F$10*$G$10)*(A125-$E$10+1)))</f>
        <v/>
      </c>
      <c r="C125" s="17">
        <f>IF(A125&lt;$E$11,0,MIN($C$11,($F$11*$G$11)*(A125-$E$11+1)))</f>
        <v/>
      </c>
      <c r="D125" s="17">
        <f>IF(A125&lt;$E$12,0,MIN($C$12,($F$12*$G$12)*(A125-$E$12+1)))</f>
        <v/>
      </c>
      <c r="E125" s="17">
        <f>IF(A125&lt;$E$13,0,MIN($C$13,($F$13*$G$13)*(A125-$E$13+1)))</f>
        <v/>
      </c>
      <c r="F125" s="17">
        <f>IF(A125&lt;$E$14,0,MIN($C$14,($F$14*$G$14)*(A125-$E$14+1)))</f>
        <v/>
      </c>
      <c r="G125" s="17">
        <f>IF(A125&lt;$E$15,0,MIN($C$15,($F$15*$G$15)*(A125-$E$15+1)))</f>
        <v/>
      </c>
      <c r="H125" s="17">
        <f>IF(A125&lt;$E$16,0,MIN($C$16,($F$16*$G$16)*(A125-$E$16+1)))</f>
        <v/>
      </c>
      <c r="I125" s="17">
        <f>IF(A125&lt;$E$17,0,MIN($C$17,($F$17*$G$17)*(A125-$E$17+1)))</f>
        <v/>
      </c>
      <c r="J125" s="17">
        <f>SUM(B125:I125)</f>
        <v/>
      </c>
      <c r="K125" s="17">
        <f>'Pilot districts'!$B$6-SUMPRODUCT(($E$10:$E$17&lt;=A125)*$C$10:$C$17)</f>
        <v/>
      </c>
    </row>
    <row r="126">
      <c r="A126" t="n">
        <v>104</v>
      </c>
      <c r="B126" s="17">
        <f>IF(A126&lt;$E$10,0,MIN($C$10,($F$10*$G$10)*(A126-$E$10+1)))</f>
        <v/>
      </c>
      <c r="C126" s="17">
        <f>IF(A126&lt;$E$11,0,MIN($C$11,($F$11*$G$11)*(A126-$E$11+1)))</f>
        <v/>
      </c>
      <c r="D126" s="17">
        <f>IF(A126&lt;$E$12,0,MIN($C$12,($F$12*$G$12)*(A126-$E$12+1)))</f>
        <v/>
      </c>
      <c r="E126" s="17">
        <f>IF(A126&lt;$E$13,0,MIN($C$13,($F$13*$G$13)*(A126-$E$13+1)))</f>
        <v/>
      </c>
      <c r="F126" s="17">
        <f>IF(A126&lt;$E$14,0,MIN($C$14,($F$14*$G$14)*(A126-$E$14+1)))</f>
        <v/>
      </c>
      <c r="G126" s="17">
        <f>IF(A126&lt;$E$15,0,MIN($C$15,($F$15*$G$15)*(A126-$E$15+1)))</f>
        <v/>
      </c>
      <c r="H126" s="17">
        <f>IF(A126&lt;$E$16,0,MIN($C$16,($F$16*$G$16)*(A126-$E$16+1)))</f>
        <v/>
      </c>
      <c r="I126" s="17">
        <f>IF(A126&lt;$E$17,0,MIN($C$17,($F$17*$G$17)*(A126-$E$17+1)))</f>
        <v/>
      </c>
      <c r="J126" s="17">
        <f>SUM(B126:I126)</f>
        <v/>
      </c>
      <c r="K126" s="17">
        <f>'Pilot districts'!$B$6-SUMPRODUCT(($E$10:$E$17&lt;=A126)*$C$10:$C$17)</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 customWidth="1" min="1" max="1"/>
    <col width="60" customWidth="1" min="2" max="2"/>
    <col width="55" customWidth="1" min="3" max="3"/>
    <col width="9" customWidth="1" min="4" max="4"/>
    <col width="40" customWidth="1" min="5" max="5"/>
  </cols>
  <sheetData>
    <row r="1">
      <c r="A1" s="1" t="inlineStr">
        <is>
          <t>Open questions</t>
        </is>
      </c>
    </row>
    <row r="2">
      <c r="A2" s="2" t="inlineStr">
        <is>
          <t>To settle before the model uses real figures.</t>
        </is>
      </c>
    </row>
    <row r="4">
      <c r="A4" s="4" t="inlineStr">
        <is>
          <t>#</t>
        </is>
      </c>
      <c r="B4" s="4" t="inlineStr">
        <is>
          <t>Question</t>
        </is>
      </c>
      <c r="C4" s="4" t="inlineStr">
        <is>
          <t>Why it matters</t>
        </is>
      </c>
      <c r="D4" s="4" t="inlineStr">
        <is>
          <t>Added in</t>
        </is>
      </c>
      <c r="E4" s="4" t="inlineStr">
        <is>
          <t>Answer</t>
        </is>
      </c>
    </row>
    <row r="5">
      <c r="A5" s="41" t="n">
        <v>1</v>
      </c>
      <c r="B5" s="41" t="inlineStr">
        <is>
          <t>Is the Loan:Savings cap on the loan itself (loan must not exceed 0.5 x the CMG's savings)?</t>
        </is>
      </c>
      <c r="C5" s="41" t="inlineStr">
        <is>
          <t>Sets the loan cap per CMG on the Districts sheet.</t>
        </is>
      </c>
      <c r="D5" s="41" t="inlineStr">
        <is>
          <t>v0.1</t>
        </is>
      </c>
      <c r="E5" s="42" t="inlineStr"/>
    </row>
    <row r="6">
      <c r="A6" s="41" t="n">
        <v>2</v>
      </c>
      <c r="B6" s="41" t="inlineStr">
        <is>
          <t>Is interest flat or on the reducing balance? What is TAMISEMI's interest ceiling?</t>
        </is>
      </c>
      <c r="C6" s="41" t="inlineStr">
        <is>
          <t>Drives all interest income, and so the default budget.</t>
        </is>
      </c>
      <c r="D6" s="41" t="inlineStr">
        <is>
          <t>v0.1</t>
        </is>
      </c>
      <c r="E6" s="42" t="inlineStr"/>
    </row>
    <row r="7">
      <c r="A7" s="41" t="n">
        <v>3</v>
      </c>
      <c r="B7" s="41" t="inlineStr">
        <is>
          <t>Are the TAMISEMI, region and LGA amounts a % of interest, or a % of the loan amount?</t>
        </is>
      </c>
      <c r="C7" s="41" t="inlineStr">
        <is>
          <t>Changes how much interest is left for the default budget and the lender.</t>
        </is>
      </c>
      <c r="D7" s="41" t="inlineStr">
        <is>
          <t>v0.1</t>
        </is>
      </c>
      <c r="E7" s="42" t="inlineStr"/>
    </row>
    <row r="8">
      <c r="A8" s="41" t="n">
        <v>4</v>
      </c>
      <c r="B8" s="41" t="inlineStr">
        <is>
          <t>Can repayments be lent out again in the same year? If yes, to whom: new CMGs or second loans to the same CMGs?</t>
        </is>
      </c>
      <c r="C8" s="41" t="inlineStr">
        <is>
          <t>Re-lending raises total lending but ties money up longer; the Districts sheet only allocates the first round.</t>
        </is>
      </c>
      <c r="D8" s="41" t="inlineStr">
        <is>
          <t>v0.1</t>
        </is>
      </c>
      <c r="E8" s="42" t="inlineStr"/>
    </row>
    <row r="9">
      <c r="A9" s="41" t="n">
        <v>5</v>
      </c>
      <c r="B9" s="41" t="inlineStr">
        <is>
          <t>Are the $2m lender and $2m CMG incentive pots paid in full each year, or spread over several years?</t>
        </is>
      </c>
      <c r="C9" s="41" t="inlineStr">
        <is>
          <t>Decides whether the corpus stays at $20m every year.</t>
        </is>
      </c>
      <c r="D9" s="41" t="inlineStr">
        <is>
          <t>v0.1</t>
        </is>
      </c>
      <c r="E9" s="42" t="inlineStr"/>
    </row>
    <row r="10">
      <c r="A10" s="41" t="n">
        <v>6</v>
      </c>
      <c r="B10" s="41" t="inlineStr">
        <is>
          <t>When does TAMISEMI's annual cycle end (e.g. financial year July-June)? At that date, must the corpus be back as CASH, or can loans still running count?</t>
        </is>
      </c>
      <c r="C10" s="41" t="inlineStr">
        <is>
          <t>With lending across the cycle and tenures up to 12 months, some money is always out on loan at year end.</t>
        </is>
      </c>
      <c r="D10" s="41" t="inlineStr">
        <is>
          <t>v0.2</t>
        </is>
      </c>
      <c r="E10" s="42" t="inlineStr"/>
    </row>
    <row r="11">
      <c r="A11" s="41" t="n">
        <v>7</v>
      </c>
      <c r="B11" s="41" t="inlineStr">
        <is>
          <t>Do CMG savings cycles start in different months (staggered), or all at once?</t>
        </is>
      </c>
      <c r="C11" s="41" t="inlineStr">
        <is>
          <t>A loan must end before the CMG's share-out, so a 12-month loan only fits a CMG that borrows at the very start of its cycle.</t>
        </is>
      </c>
      <c r="D11" s="41" t="inlineStr">
        <is>
          <t>v0.2</t>
        </is>
      </c>
      <c r="E11" s="42" t="inlineStr"/>
    </row>
    <row r="12">
      <c r="A12" s="41" t="n">
        <v>8</v>
      </c>
      <c r="B12" s="41" t="inlineStr">
        <is>
          <t>With the lender discount removed, is the lender's only income the interest margin plus the lender incentives? Does the lender pay anything for the TAMISEMI advance?</t>
        </is>
      </c>
      <c r="C12" s="41" t="inlineStr">
        <is>
          <t>Shows whether lending is worth it for the lender.</t>
        </is>
      </c>
      <c r="D12" s="41" t="inlineStr">
        <is>
          <t>v0.2</t>
        </is>
      </c>
      <c r="E12" s="42" t="inlineStr"/>
    </row>
    <row r="13">
      <c r="A13" s="41" t="n">
        <v>9</v>
      </c>
      <c r="B13" s="41" t="inlineStr">
        <is>
          <t>Should the 15-working-day disbursement rule apply to each new advance across the cycle, not only the first?</t>
        </is>
      </c>
      <c r="C13" s="41" t="inlineStr">
        <is>
          <t>Sets how fast money can go out each month.</t>
        </is>
      </c>
      <c r="D13" s="41" t="inlineStr">
        <is>
          <t>v0.2</t>
        </is>
      </c>
      <c r="E13" s="42" t="inlineStr"/>
    </row>
    <row r="14">
      <c r="A14" s="41" t="n">
        <v>10</v>
      </c>
      <c r="B14" s="41" t="inlineStr">
        <is>
          <t>Are defaulted loans written off at maturity, or chased into the next year (recoveries)?</t>
        </is>
      </c>
      <c r="C14" s="41" t="inlineStr">
        <is>
          <t>Recoveries would add money back to the corpus later.</t>
        </is>
      </c>
      <c r="D14" s="41" t="inlineStr">
        <is>
          <t>v0.2</t>
        </is>
      </c>
      <c r="E14" s="42" t="inlineStr"/>
    </row>
    <row r="15">
      <c r="A15" s="41" t="n">
        <v>11</v>
      </c>
      <c r="B15" s="41" t="inlineStr">
        <is>
          <t>Who should be able to edit the 'PAMOJA Model Inputs' GUI, and does each district need its own editor?</t>
        </is>
      </c>
      <c r="C15" s="41" t="inlineStr">
        <is>
          <t>The GUI page is currently shared only with its owner; wider access needs a deliberate share decision.</t>
        </is>
      </c>
      <c r="D15" s="41" t="inlineStr">
        <is>
          <t>v0.3</t>
        </is>
      </c>
      <c r="E15" s="42" t="inlineStr"/>
    </row>
    <row r="16">
      <c r="A16" s="41" t="n">
        <v>12</v>
      </c>
      <c r="B16" s="41" t="inlineStr">
        <is>
          <t>What should the risk share of defaults between TAMISEMI and the lender actually be, and should it vary by lender or by performance? Should the lender ever keep part of the repaid principal instead of returning all of it to TAMISEMI?</t>
        </is>
      </c>
      <c r="C16" s="41" t="inlineStr">
        <is>
          <t>Placeholders now: TAMISEMI absorbs 50% of every default, the lender the other 50%; the lender returns 100% of repaid principal to TAMISEMI. Matches question 12 on the flowchart (trigger and timing of risk share are still open).</t>
        </is>
      </c>
      <c r="D16" s="41" t="inlineStr">
        <is>
          <t>v0.4</t>
        </is>
      </c>
      <c r="E16" s="42" t="inlineStr"/>
    </row>
    <row r="17">
      <c r="A17" s="41" t="n">
        <v>13</v>
      </c>
      <c r="B17" s="41" t="inlineStr">
        <is>
          <t>How does the 8-district pilot pool ($6m placeholder) relate to the $24m annual model - is it part of the same $20m corpus, or a separate first tranche?</t>
        </is>
      </c>
      <c r="C17" s="41" t="inlineStr">
        <is>
          <t>The two are not reconciled yet: 'Pilot districts' has its own corpus figure and its own scale-down logic.</t>
        </is>
      </c>
      <c r="D17" s="41" t="inlineStr">
        <is>
          <t>v0.5</t>
        </is>
      </c>
      <c r="E17" s="42" t="inlineStr"/>
    </row>
    <row r="18">
      <c r="A18" s="41" t="n">
        <v>14</v>
      </c>
      <c r="B18" s="41" t="inlineStr">
        <is>
          <t>Appraisal capacity, the appraisal-&gt;disbursal lag, and the conversion rate are all placeholders per district (and constant over time) - what are the real figures, and do they vary by season or by lender?</t>
        </is>
      </c>
      <c r="C18" s="41" t="inlineStr">
        <is>
          <t>These three numbers set the whole pace of the weekly cascade on 'District timeline'.</t>
        </is>
      </c>
      <c r="D18" s="41" t="inlineStr">
        <is>
          <t>v0.5</t>
        </is>
      </c>
      <c r="E18" s="42" t="inlineStr"/>
    </row>
    <row r="19">
      <c r="A19" s="41" t="n">
        <v>15</v>
      </c>
      <c r="B19" s="41" t="inlineStr">
        <is>
          <t>Should recycled repayments be capped at what the district can still use (CMGs not yet served), or can they always be redeployed even if it means lending to the same CMGs again?</t>
        </is>
      </c>
      <c r="C19" s="41" t="inlineStr">
        <is>
          <t>In the placeholder run, once a district's CMGs are all appraised, recycled cash sits idle in the pool - see 'District timeline' for District 1.</t>
        </is>
      </c>
      <c r="D19" s="41" t="inlineStr">
        <is>
          <t>v0.5</t>
        </is>
      </c>
      <c r="E19" s="4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0" customWidth="1" min="1" max="1"/>
    <col width="100" customWidth="1" min="2" max="2"/>
  </cols>
  <sheetData>
    <row r="1">
      <c r="A1" s="1" t="inlineStr">
        <is>
          <t>Glossary</t>
        </is>
      </c>
    </row>
    <row r="2">
      <c r="A2" s="2" t="inlineStr">
        <is>
          <t>Acronyms and terms used in this model.</t>
        </is>
      </c>
    </row>
    <row r="4">
      <c r="A4" s="4" t="inlineStr">
        <is>
          <t>Term</t>
        </is>
      </c>
      <c r="B4" s="4" t="inlineStr">
        <is>
          <t>Meaning</t>
        </is>
      </c>
    </row>
    <row r="5">
      <c r="A5" s="3" t="inlineStr">
        <is>
          <t>Advance</t>
        </is>
      </c>
      <c r="B5" t="inlineStr">
        <is>
          <t>Money TAMISEMI sends a lender ahead of lending, based on the CMG pool allocated to that lender.</t>
        </is>
      </c>
    </row>
    <row r="6">
      <c r="A6" s="3" t="inlineStr">
        <is>
          <t>Allocation</t>
        </is>
      </c>
      <c r="B6" t="inlineStr">
        <is>
          <t>The share of the lending corpus given to a district, based on its loan demand.</t>
        </is>
      </c>
    </row>
    <row r="7">
      <c r="A7" s="3" t="inlineStr">
        <is>
          <t>Annual cycle</t>
        </is>
      </c>
      <c r="B7" t="inlineStr">
        <is>
          <t>The CMG's savings year. Loans must be repaid before the share-out at the end.</t>
        </is>
      </c>
    </row>
    <row r="8">
      <c r="A8" s="3" t="inlineStr">
        <is>
          <t>Appraisal</t>
        </is>
      </c>
      <c r="B8" t="inlineStr">
        <is>
          <t>A lender's check of a CMG before deciding whether to lend, and how much. Capacity-limited on 'District timeline' (CMGs a lender can appraise per week).</t>
        </is>
      </c>
    </row>
    <row r="9">
      <c r="A9" s="3" t="inlineStr">
        <is>
          <t>Break-even default rate</t>
        </is>
      </c>
      <c r="B9" t="inlineStr">
        <is>
          <t>The highest default rate the default budget and TAMISEMI's risk share can cover and still restore the corpus.</t>
        </is>
      </c>
    </row>
    <row r="10">
      <c r="A10" s="3" t="inlineStr">
        <is>
          <t>CMG</t>
        </is>
      </c>
      <c r="B10" t="inlineStr">
        <is>
          <t>Community Microfinance Group: a savings group whose members save and lend to each other.</t>
        </is>
      </c>
    </row>
    <row r="11">
      <c r="A11" s="3" t="inlineStr">
        <is>
          <t>Committed tranche</t>
        </is>
      </c>
      <c r="B11" t="inlineStr">
        <is>
          <t>On 'Corpus rollout': the share of a district's allocation advanced upfront, per the tranche % input.</t>
        </is>
      </c>
    </row>
    <row r="12">
      <c r="A12" s="3" t="inlineStr">
        <is>
          <t>Conversion rate</t>
        </is>
      </c>
      <c r="B12" t="inlineStr">
        <is>
          <t>On the pilot-district sheets: the share of appraised CMGs that are approved and go on to accept the loan.</t>
        </is>
      </c>
    </row>
    <row r="13">
      <c r="A13" s="3" t="inlineStr">
        <is>
          <t>Corpus</t>
        </is>
      </c>
      <c r="B13" t="inlineStr">
        <is>
          <t>The pool of money available to lend ($24m less the $4m set aside for incentives). The pilot-district sheets use a separate, smaller placeholder pool.</t>
        </is>
      </c>
    </row>
    <row r="14">
      <c r="A14" s="3" t="inlineStr">
        <is>
          <t>Default</t>
        </is>
      </c>
      <c r="B14" t="inlineStr">
        <is>
          <t>A loan, or part of a loan, that is not repaid.</t>
        </is>
      </c>
    </row>
    <row r="15">
      <c r="A15" s="3" t="inlineStr">
        <is>
          <t>Default budget / loss reserve</t>
        </is>
      </c>
      <c r="B15" t="inlineStr">
        <is>
          <t>The share of interest set aside to cover TAMISEMI's risk share of defaults.</t>
        </is>
      </c>
    </row>
    <row r="16">
      <c r="A16" s="3" t="inlineStr">
        <is>
          <t>Demand</t>
        </is>
      </c>
      <c r="B16" t="inlineStr">
        <is>
          <t>Number of CMGs x loan per CMG, before any scaling down.</t>
        </is>
      </c>
    </row>
    <row r="17">
      <c r="A17" s="3" t="inlineStr">
        <is>
          <t>Flat interest</t>
        </is>
      </c>
      <c r="B17" t="inlineStr">
        <is>
          <t>Interest worked out on the full loan amount for the whole term, not on the falling balance.</t>
        </is>
      </c>
    </row>
    <row r="18">
      <c r="A18" s="3" t="inlineStr">
        <is>
          <t>Incentive</t>
        </is>
      </c>
      <c r="B18" t="inlineStr">
        <is>
          <t>A payment to reward good results (lenders: lending well; CMGs: on-time repayment).</t>
        </is>
      </c>
    </row>
    <row r="19">
      <c r="A19" s="3" t="inlineStr">
        <is>
          <t>Instalment</t>
        </is>
      </c>
      <c r="B19" t="inlineStr">
        <is>
          <t>One of the equal monthly repayments of a loan.</t>
        </is>
      </c>
    </row>
    <row r="20">
      <c r="A20" s="3" t="inlineStr">
        <is>
          <t>Lender margin</t>
        </is>
      </c>
      <c r="B20" t="inlineStr">
        <is>
          <t>The share of interest the lender keeps after the default budget and the TAMISEMI/region/LGA shares are paid, before its risk share of defaults.</t>
        </is>
      </c>
    </row>
    <row r="21">
      <c r="A21" s="3" t="inlineStr">
        <is>
          <t>Lender's net result</t>
        </is>
      </c>
      <c r="B21" t="inlineStr">
        <is>
          <t>Lender margin, less the lender's own risk share of defaults, plus any repaid principal the lender keeps instead of returning to TAMISEMI.</t>
        </is>
      </c>
    </row>
    <row r="22">
      <c r="A22" s="3" t="inlineStr">
        <is>
          <t>LGA</t>
        </is>
      </c>
      <c r="B22" t="inlineStr">
        <is>
          <t>Local Government Authority: the district or council.</t>
        </is>
      </c>
    </row>
    <row r="23">
      <c r="A23" s="3" t="inlineStr">
        <is>
          <t>Loan:Savings ratio</t>
        </is>
      </c>
      <c r="B23" t="inlineStr">
        <is>
          <t>Loan amount divided by the CMG's savings. Capped by the maximum ratio input.</t>
        </is>
      </c>
    </row>
    <row r="24">
      <c r="A24" s="3" t="inlineStr">
        <is>
          <t>Portfolio default rate</t>
        </is>
      </c>
      <c r="B24" t="inlineStr">
        <is>
          <t>Defaulted principal as a % of all loans made.</t>
        </is>
      </c>
    </row>
    <row r="25">
      <c r="A25" s="3" t="inlineStr">
        <is>
          <t>Portfolio Outstanding</t>
        </is>
      </c>
      <c r="B25" t="inlineStr">
        <is>
          <t>The running loan book: capital disbursed so far, less principal repaid so far (defaulted principal is not written off in this simple version).</t>
        </is>
      </c>
    </row>
    <row r="26">
      <c r="A26" s="3" t="inlineStr">
        <is>
          <t>Principal</t>
        </is>
      </c>
      <c r="B26" t="inlineStr">
        <is>
          <t>The amount lent, not counting interest.</t>
        </is>
      </c>
    </row>
    <row r="27">
      <c r="A27" s="3" t="inlineStr">
        <is>
          <t>Redeployment mode</t>
        </is>
      </c>
      <c r="B27" t="inlineStr">
        <is>
          <t>On the pilot-district sheets: whether repayments are held as cash (0), recycled by the same FI (1), or handed to a 2nd FI in the district (2) - modelled the same way, reported separately.</t>
        </is>
      </c>
    </row>
    <row r="28">
      <c r="A28" s="3" t="inlineStr">
        <is>
          <t>Re-lending / revolving fund</t>
        </is>
      </c>
      <c r="B28" t="inlineStr">
        <is>
          <t>Lending repayments out again instead of holding them as cash.</t>
        </is>
      </c>
    </row>
    <row r="29">
      <c r="A29" s="3" t="inlineStr">
        <is>
          <t>Reserve (TAMISEMI)</t>
        </is>
      </c>
      <c r="B29" t="inlineStr">
        <is>
          <t>On 'Corpus rollout': the share of the pilot pool not yet advanced to any district, held back for later needs.</t>
        </is>
      </c>
    </row>
    <row r="30">
      <c r="A30" s="3" t="inlineStr">
        <is>
          <t>Risk share</t>
        </is>
      </c>
      <c r="B30" t="inlineStr">
        <is>
          <t>How the loss on a defaulted loan is split between TAMISEMI (absorbed against the corpus) and the lender (its own loss, repaid to the fund as compensation).</t>
        </is>
      </c>
    </row>
    <row r="31">
      <c r="A31" s="3" t="inlineStr">
        <is>
          <t>Rollout start week</t>
        </is>
      </c>
      <c r="B31" t="inlineStr">
        <is>
          <t>The week a pilot district begins appraising CMGs, on the pilot-district sheets.</t>
        </is>
      </c>
    </row>
    <row r="32">
      <c r="A32" s="3" t="inlineStr">
        <is>
          <t>Run-off</t>
        </is>
      </c>
      <c r="B32" t="inlineStr">
        <is>
          <t>The period after lending stops, while loans already made are being repaid.</t>
        </is>
      </c>
    </row>
    <row r="33">
      <c r="A33" s="3" t="inlineStr">
        <is>
          <t>Scale factor</t>
        </is>
      </c>
      <c r="B33" t="inlineStr">
        <is>
          <t>The % of demand that can be met when demand is more than the corpus.</t>
        </is>
      </c>
    </row>
    <row r="34">
      <c r="A34" s="3" t="inlineStr">
        <is>
          <t>Service fee</t>
        </is>
      </c>
      <c r="B34" t="inlineStr">
        <is>
          <t>The Region and LGA shares of interest collected (previously called Region/LGA share).</t>
        </is>
      </c>
    </row>
    <row r="35">
      <c r="A35" s="3" t="inlineStr">
        <is>
          <t>Share-out</t>
        </is>
      </c>
      <c r="B35" t="inlineStr">
        <is>
          <t>When the CMG shares its savings and profits among members at the end of the cycle.</t>
        </is>
      </c>
    </row>
    <row r="36">
      <c r="A36" s="3" t="inlineStr">
        <is>
          <t>TAMISEMI</t>
        </is>
      </c>
      <c r="B36" t="inlineStr">
        <is>
          <t>President's Office - Regional Administration and Local Government (Tanzania). Funds PAMOJA.</t>
        </is>
      </c>
    </row>
    <row r="37">
      <c r="A37" s="3" t="inlineStr">
        <is>
          <t>TAMISEMI share of repaid principal</t>
        </is>
      </c>
      <c r="B37" t="inlineStr">
        <is>
          <t>The % of every repaid instalment's principal that returns to the TAMISEMI corpus; the rest is kept by the lender.</t>
        </is>
      </c>
    </row>
    <row r="38">
      <c r="A38" s="3" t="inlineStr">
        <is>
          <t>Tenure / term</t>
        </is>
      </c>
      <c r="B38" t="inlineStr">
        <is>
          <t>How long a loan runs, in months, from disbursement to the last instalment.</t>
        </is>
      </c>
    </row>
    <row r="39">
      <c r="A39" s="3" t="inlineStr">
        <is>
          <t>Turnover</t>
        </is>
      </c>
      <c r="B39" t="inlineStr">
        <is>
          <t>Total loans made in a year divided by the corpus: how many times the money was lent.</t>
        </is>
      </c>
    </row>
    <row r="40">
      <c r="A40" s="3" t="inlineStr">
        <is>
          <t>TZS / USD</t>
        </is>
      </c>
      <c r="B40" t="inlineStr">
        <is>
          <t>Tanzanian shilling / United States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2026-09-30T07:05:19Z</dcterms:created>
  <dcterms:modified xsi:type="dcterms:W3CDTF">2026-09-30T07:05:19Z</dcterms:modified>
</cp:coreProperties>
</file>